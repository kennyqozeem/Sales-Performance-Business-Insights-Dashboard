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kadelakin\Documents\DSN BootCamp\Entry Assessment\"/>
    </mc:Choice>
  </mc:AlternateContent>
  <xr:revisionPtr revIDLastSave="0" documentId="13_ncr:1_{57A57B71-D0D6-42C3-A5B0-C152AC9D782C}" xr6:coauthVersionLast="47" xr6:coauthVersionMax="47" xr10:uidLastSave="{00000000-0000-0000-0000-000000000000}"/>
  <bookViews>
    <workbookView xWindow="-108" yWindow="-108" windowWidth="23256" windowHeight="12456" tabRatio="783" xr2:uid="{00000000-000D-0000-FFFF-FFFF00000000}"/>
  </bookViews>
  <sheets>
    <sheet name="Dashboard" sheetId="7" r:id="rId1"/>
    <sheet name="Pivot" sheetId="6" r:id="rId2"/>
    <sheet name="Cleaned Data" sheetId="3" r:id="rId3"/>
    <sheet name="Raw Data" sheetId="2" r:id="rId4"/>
  </sheets>
  <externalReferences>
    <externalReference r:id="rId5"/>
  </externalReferences>
  <definedNames>
    <definedName name="_xlnm.Print_Area" localSheetId="0">Dashboard!$A$1:$T$26</definedName>
    <definedName name="Slicer_State">#N/A</definedName>
  </definedNames>
  <calcPr calcId="191029" iterateDelta="1E-4"/>
  <pivotCaches>
    <pivotCache cacheId="2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21" i="6" l="1"/>
  <c r="G22" i="6"/>
  <c r="G20" i="6"/>
  <c r="F21" i="6"/>
  <c r="F22" i="6"/>
  <c r="F20" i="6"/>
  <c r="G14" i="6"/>
  <c r="G15" i="6"/>
  <c r="G13" i="6"/>
  <c r="F14" i="6"/>
  <c r="F15" i="6"/>
  <c r="F13" i="6"/>
  <c r="D41" i="6"/>
  <c r="D42" i="6"/>
  <c r="D43" i="6"/>
  <c r="D44" i="6"/>
  <c r="D45" i="6"/>
  <c r="D46" i="6"/>
  <c r="D47" i="6"/>
  <c r="D40" i="6"/>
  <c r="C41" i="6"/>
  <c r="C42" i="6"/>
  <c r="C43" i="6"/>
  <c r="C44" i="6"/>
  <c r="C45" i="6"/>
  <c r="C46" i="6"/>
  <c r="C47" i="6"/>
  <c r="C40" i="6"/>
  <c r="F5" i="6"/>
  <c r="G5" i="6"/>
  <c r="I5" i="6"/>
  <c r="J5" i="6"/>
  <c r="F6" i="6"/>
  <c r="G6" i="6"/>
  <c r="I6" i="6"/>
  <c r="J6" i="6"/>
  <c r="F7" i="6"/>
  <c r="G7" i="6"/>
  <c r="I7" i="6"/>
  <c r="J7" i="6"/>
  <c r="F8" i="6"/>
  <c r="G8" i="6"/>
  <c r="I8" i="6"/>
  <c r="J8" i="6"/>
  <c r="J4" i="6"/>
  <c r="I4" i="6"/>
  <c r="G4" i="6"/>
  <c r="F4" i="6"/>
  <c r="M21" i="6"/>
  <c r="M22" i="6"/>
  <c r="M20" i="6"/>
  <c r="D23" i="6"/>
  <c r="D21" i="6" l="1"/>
  <c r="N21" i="6" s="1"/>
  <c r="D22" i="6"/>
  <c r="N22" i="6" s="1"/>
  <c r="D20" i="6"/>
  <c r="N20" i="6" s="1"/>
  <c r="V3" i="3"/>
  <c r="V4" i="3"/>
  <c r="V5" i="3"/>
  <c r="V6" i="3"/>
  <c r="V7" i="3"/>
  <c r="V8" i="3"/>
  <c r="V9" i="3"/>
  <c r="V10" i="3"/>
  <c r="V11" i="3"/>
  <c r="V12" i="3"/>
  <c r="V13" i="3"/>
  <c r="V14" i="3"/>
  <c r="V15" i="3"/>
  <c r="V16" i="3"/>
  <c r="V17" i="3"/>
  <c r="V18" i="3"/>
  <c r="V19" i="3"/>
  <c r="V20" i="3"/>
  <c r="V21" i="3"/>
  <c r="V22" i="3"/>
  <c r="V23" i="3"/>
  <c r="V24" i="3"/>
  <c r="V25" i="3"/>
  <c r="V26" i="3"/>
  <c r="V27" i="3"/>
  <c r="V28" i="3"/>
  <c r="V29" i="3"/>
  <c r="V30" i="3"/>
  <c r="V31" i="3"/>
  <c r="V32" i="3"/>
  <c r="V33" i="3"/>
  <c r="V34" i="3"/>
  <c r="V35" i="3"/>
  <c r="V36" i="3"/>
  <c r="V37" i="3"/>
  <c r="V38" i="3"/>
  <c r="V39" i="3"/>
  <c r="V40" i="3"/>
  <c r="V41" i="3"/>
  <c r="V42" i="3"/>
  <c r="V43" i="3"/>
  <c r="V44" i="3"/>
  <c r="V45" i="3"/>
  <c r="V46" i="3"/>
  <c r="V47" i="3"/>
  <c r="V48" i="3"/>
  <c r="V49" i="3"/>
  <c r="V50" i="3"/>
  <c r="V51" i="3"/>
  <c r="V52" i="3"/>
  <c r="V53" i="3"/>
  <c r="V54" i="3"/>
  <c r="V55" i="3"/>
  <c r="V56" i="3"/>
  <c r="V57" i="3"/>
  <c r="V58" i="3"/>
  <c r="V59" i="3"/>
  <c r="V60" i="3"/>
  <c r="V61" i="3"/>
  <c r="V62" i="3"/>
  <c r="V63" i="3"/>
  <c r="V64" i="3"/>
  <c r="V65" i="3"/>
  <c r="V66" i="3"/>
  <c r="V67" i="3"/>
  <c r="V68" i="3"/>
  <c r="V69" i="3"/>
  <c r="V70" i="3"/>
  <c r="V71" i="3"/>
  <c r="V72" i="3"/>
  <c r="V73" i="3"/>
  <c r="V74" i="3"/>
  <c r="V75" i="3"/>
  <c r="V76" i="3"/>
  <c r="V77" i="3"/>
  <c r="V78" i="3"/>
  <c r="V79" i="3"/>
  <c r="V80" i="3"/>
  <c r="V81" i="3"/>
  <c r="V82" i="3"/>
  <c r="V83" i="3"/>
  <c r="V84" i="3"/>
  <c r="V85" i="3"/>
  <c r="V86" i="3"/>
  <c r="V87" i="3"/>
  <c r="V88" i="3"/>
  <c r="V89" i="3"/>
  <c r="V90" i="3"/>
  <c r="V91" i="3"/>
  <c r="V92" i="3"/>
  <c r="V93" i="3"/>
  <c r="V94" i="3"/>
  <c r="V95" i="3"/>
  <c r="V96" i="3"/>
  <c r="V97" i="3"/>
  <c r="V98" i="3"/>
  <c r="V99" i="3"/>
  <c r="V100" i="3"/>
  <c r="V101" i="3"/>
  <c r="V102" i="3"/>
  <c r="V103" i="3"/>
  <c r="V104" i="3"/>
  <c r="V105" i="3"/>
  <c r="V106" i="3"/>
  <c r="V107" i="3"/>
  <c r="V108" i="3"/>
  <c r="V109" i="3"/>
  <c r="V110" i="3"/>
  <c r="V111" i="3"/>
  <c r="V112" i="3"/>
  <c r="V113" i="3"/>
  <c r="V114" i="3"/>
  <c r="V115" i="3"/>
  <c r="V116" i="3"/>
  <c r="V117" i="3"/>
  <c r="V118" i="3"/>
  <c r="V119" i="3"/>
  <c r="V120" i="3"/>
  <c r="V121" i="3"/>
  <c r="V122" i="3"/>
  <c r="V123" i="3"/>
  <c r="V124" i="3"/>
  <c r="V125" i="3"/>
  <c r="V126" i="3"/>
  <c r="V127" i="3"/>
  <c r="V128" i="3"/>
  <c r="V129" i="3"/>
  <c r="V130" i="3"/>
  <c r="V131" i="3"/>
  <c r="V132" i="3"/>
  <c r="V133" i="3"/>
  <c r="V134" i="3"/>
  <c r="V135" i="3"/>
  <c r="V136" i="3"/>
  <c r="V137" i="3"/>
  <c r="V138" i="3"/>
  <c r="V139" i="3"/>
  <c r="V140" i="3"/>
  <c r="V141" i="3"/>
  <c r="V142" i="3"/>
  <c r="V143" i="3"/>
  <c r="V144" i="3"/>
  <c r="V145" i="3"/>
  <c r="V146" i="3"/>
  <c r="V147" i="3"/>
  <c r="V148" i="3"/>
  <c r="V149" i="3"/>
  <c r="V150" i="3"/>
  <c r="V151" i="3"/>
  <c r="V152" i="3"/>
  <c r="V153" i="3"/>
  <c r="V154" i="3"/>
  <c r="V155" i="3"/>
  <c r="V156" i="3"/>
  <c r="V157" i="3"/>
  <c r="V158" i="3"/>
  <c r="V159" i="3"/>
  <c r="V160" i="3"/>
  <c r="V161" i="3"/>
  <c r="V162" i="3"/>
  <c r="V163" i="3"/>
  <c r="V164" i="3"/>
  <c r="V165" i="3"/>
  <c r="V166" i="3"/>
  <c r="V167" i="3"/>
  <c r="V168" i="3"/>
  <c r="V169" i="3"/>
  <c r="V170" i="3"/>
  <c r="V171" i="3"/>
  <c r="V172" i="3"/>
  <c r="V173" i="3"/>
  <c r="V174" i="3"/>
  <c r="V175" i="3"/>
  <c r="V176" i="3"/>
  <c r="V177" i="3"/>
  <c r="V178" i="3"/>
  <c r="V179" i="3"/>
  <c r="V180" i="3"/>
  <c r="V181" i="3"/>
  <c r="V182" i="3"/>
  <c r="V183" i="3"/>
  <c r="V184" i="3"/>
  <c r="V185" i="3"/>
  <c r="V186" i="3"/>
  <c r="V187" i="3"/>
  <c r="V188" i="3"/>
  <c r="V189" i="3"/>
  <c r="V190" i="3"/>
  <c r="V191" i="3"/>
  <c r="V192" i="3"/>
  <c r="V193" i="3"/>
  <c r="V194" i="3"/>
  <c r="V195" i="3"/>
  <c r="V196" i="3"/>
  <c r="V197" i="3"/>
  <c r="V198" i="3"/>
  <c r="V199" i="3"/>
  <c r="V200" i="3"/>
  <c r="V201" i="3"/>
  <c r="V202" i="3"/>
  <c r="V203" i="3"/>
  <c r="V204" i="3"/>
  <c r="V205" i="3"/>
  <c r="V206" i="3"/>
  <c r="V207" i="3"/>
  <c r="V208" i="3"/>
  <c r="V209" i="3"/>
  <c r="V210" i="3"/>
  <c r="V211" i="3"/>
  <c r="V212" i="3"/>
  <c r="V213" i="3"/>
  <c r="V214" i="3"/>
  <c r="V215" i="3"/>
  <c r="V216" i="3"/>
  <c r="V217" i="3"/>
  <c r="V218" i="3"/>
  <c r="V219" i="3"/>
  <c r="V220" i="3"/>
  <c r="V221" i="3"/>
  <c r="V222" i="3"/>
  <c r="V223" i="3"/>
  <c r="V224" i="3"/>
  <c r="V225" i="3"/>
  <c r="V226" i="3"/>
  <c r="V227" i="3"/>
  <c r="V228" i="3"/>
  <c r="V229" i="3"/>
  <c r="V230" i="3"/>
  <c r="V231" i="3"/>
  <c r="V232" i="3"/>
  <c r="V233" i="3"/>
  <c r="V234" i="3"/>
  <c r="V235" i="3"/>
  <c r="V236" i="3"/>
  <c r="V237" i="3"/>
  <c r="V238" i="3"/>
  <c r="V239" i="3"/>
  <c r="V240" i="3"/>
  <c r="V241" i="3"/>
  <c r="V242" i="3"/>
  <c r="V243" i="3"/>
  <c r="V244" i="3"/>
  <c r="V245" i="3"/>
  <c r="V246" i="3"/>
  <c r="V247" i="3"/>
  <c r="V248" i="3"/>
  <c r="V249" i="3"/>
  <c r="V250" i="3"/>
  <c r="V251" i="3"/>
  <c r="V252" i="3"/>
  <c r="V253" i="3"/>
  <c r="V254" i="3"/>
  <c r="V255" i="3"/>
  <c r="V256" i="3"/>
  <c r="V257" i="3"/>
  <c r="V258" i="3"/>
  <c r="V259" i="3"/>
  <c r="V260" i="3"/>
  <c r="V261" i="3"/>
  <c r="V262" i="3"/>
  <c r="V263" i="3"/>
  <c r="V264" i="3"/>
  <c r="V265" i="3"/>
  <c r="V266" i="3"/>
  <c r="V267" i="3"/>
  <c r="V268" i="3"/>
  <c r="V269" i="3"/>
  <c r="V270" i="3"/>
  <c r="V271" i="3"/>
  <c r="V272" i="3"/>
  <c r="V273" i="3"/>
  <c r="V274" i="3"/>
  <c r="V275" i="3"/>
  <c r="V276" i="3"/>
  <c r="V277" i="3"/>
  <c r="V278" i="3"/>
  <c r="V279" i="3"/>
  <c r="V280" i="3"/>
  <c r="V281" i="3"/>
  <c r="V282" i="3"/>
  <c r="V283" i="3"/>
  <c r="V284" i="3"/>
  <c r="V285" i="3"/>
  <c r="V286" i="3"/>
  <c r="V287" i="3"/>
  <c r="V288" i="3"/>
  <c r="V289" i="3"/>
  <c r="V290" i="3"/>
  <c r="V291" i="3"/>
  <c r="V292" i="3"/>
  <c r="V293" i="3"/>
  <c r="V294" i="3"/>
  <c r="V295" i="3"/>
  <c r="V296" i="3"/>
  <c r="V297" i="3"/>
  <c r="V298" i="3"/>
  <c r="V299" i="3"/>
  <c r="V300" i="3"/>
  <c r="V301" i="3"/>
  <c r="V302" i="3"/>
  <c r="V303" i="3"/>
  <c r="V304" i="3"/>
  <c r="V305" i="3"/>
  <c r="V306" i="3"/>
  <c r="V307" i="3"/>
  <c r="V308" i="3"/>
  <c r="V309" i="3"/>
  <c r="V310" i="3"/>
  <c r="V311" i="3"/>
  <c r="V312" i="3"/>
  <c r="V313" i="3"/>
  <c r="V314" i="3"/>
  <c r="V315" i="3"/>
  <c r="V316" i="3"/>
  <c r="V317" i="3"/>
  <c r="V318" i="3"/>
  <c r="V319" i="3"/>
  <c r="V320" i="3"/>
  <c r="V321" i="3"/>
  <c r="V322" i="3"/>
  <c r="V323" i="3"/>
  <c r="V324" i="3"/>
  <c r="V325" i="3"/>
  <c r="V326" i="3"/>
  <c r="V327" i="3"/>
  <c r="V328" i="3"/>
  <c r="V329" i="3"/>
  <c r="V330" i="3"/>
  <c r="V331" i="3"/>
  <c r="V332" i="3"/>
  <c r="V333" i="3"/>
  <c r="V334" i="3"/>
  <c r="V335" i="3"/>
  <c r="V336" i="3"/>
  <c r="V337" i="3"/>
  <c r="V338" i="3"/>
  <c r="V339" i="3"/>
  <c r="V340" i="3"/>
  <c r="V341" i="3"/>
  <c r="V342" i="3"/>
  <c r="V343" i="3"/>
  <c r="V344" i="3"/>
  <c r="V345" i="3"/>
  <c r="V346" i="3"/>
  <c r="V347" i="3"/>
  <c r="V348" i="3"/>
  <c r="V349" i="3"/>
  <c r="V350" i="3"/>
  <c r="V351" i="3"/>
  <c r="V352" i="3"/>
  <c r="V353" i="3"/>
  <c r="V354" i="3"/>
  <c r="V355" i="3"/>
  <c r="V356" i="3"/>
  <c r="V357" i="3"/>
  <c r="V358" i="3"/>
  <c r="V359" i="3"/>
  <c r="V360" i="3"/>
  <c r="V361" i="3"/>
  <c r="V362" i="3"/>
  <c r="V363" i="3"/>
  <c r="V364" i="3"/>
  <c r="V365" i="3"/>
  <c r="V366" i="3"/>
  <c r="V367" i="3"/>
  <c r="V368" i="3"/>
  <c r="V369" i="3"/>
  <c r="V370" i="3"/>
  <c r="V371" i="3"/>
  <c r="V372" i="3"/>
  <c r="V373" i="3"/>
  <c r="V374" i="3"/>
  <c r="V375" i="3"/>
  <c r="V376" i="3"/>
  <c r="V377" i="3"/>
  <c r="V378" i="3"/>
  <c r="V379" i="3"/>
  <c r="V380" i="3"/>
  <c r="V381" i="3"/>
  <c r="V382" i="3"/>
  <c r="V383" i="3"/>
  <c r="V384" i="3"/>
  <c r="V385" i="3"/>
  <c r="V386" i="3"/>
  <c r="V387" i="3"/>
  <c r="V388" i="3"/>
  <c r="V389" i="3"/>
  <c r="V390" i="3"/>
  <c r="V391" i="3"/>
  <c r="V392" i="3"/>
  <c r="V393" i="3"/>
  <c r="V394" i="3"/>
  <c r="V395" i="3"/>
  <c r="V396" i="3"/>
  <c r="V397" i="3"/>
  <c r="V398" i="3"/>
  <c r="V399" i="3"/>
  <c r="V400" i="3"/>
  <c r="V401" i="3"/>
  <c r="V402" i="3"/>
  <c r="V403" i="3"/>
  <c r="V404" i="3"/>
  <c r="V405" i="3"/>
  <c r="V406" i="3"/>
  <c r="V407" i="3"/>
  <c r="V408" i="3"/>
  <c r="V409" i="3"/>
  <c r="V410" i="3"/>
  <c r="V411" i="3"/>
  <c r="V412" i="3"/>
  <c r="V413" i="3"/>
  <c r="V414" i="3"/>
  <c r="V415" i="3"/>
  <c r="V416" i="3"/>
  <c r="V417" i="3"/>
  <c r="V418" i="3"/>
  <c r="V419" i="3"/>
  <c r="V420" i="3"/>
  <c r="V421" i="3"/>
  <c r="V422" i="3"/>
  <c r="V423" i="3"/>
  <c r="V424" i="3"/>
  <c r="V425" i="3"/>
  <c r="V426" i="3"/>
  <c r="V427" i="3"/>
  <c r="V428" i="3"/>
  <c r="V429" i="3"/>
  <c r="V430" i="3"/>
  <c r="V431" i="3"/>
  <c r="V432" i="3"/>
  <c r="V433" i="3"/>
  <c r="V2" i="3"/>
  <c r="D15" i="6"/>
  <c r="D14" i="6"/>
  <c r="D13" i="6"/>
  <c r="D5" i="6"/>
  <c r="D6" i="6"/>
  <c r="D7" i="6"/>
  <c r="D8" i="6"/>
  <c r="D4" i="6"/>
  <c r="N435" i="3"/>
  <c r="M435" i="3"/>
  <c r="N435" i="2"/>
  <c r="M435" i="2"/>
  <c r="T433" i="3"/>
  <c r="S433" i="3"/>
  <c r="P433" i="3"/>
  <c r="O433" i="3"/>
  <c r="M433" i="3"/>
  <c r="L433" i="3"/>
  <c r="N433" i="3" s="1"/>
  <c r="R433" i="3" s="1"/>
  <c r="K433" i="3"/>
  <c r="J433" i="3"/>
  <c r="Q433" i="3" s="1"/>
  <c r="I433" i="3"/>
  <c r="H433" i="3"/>
  <c r="G433" i="3"/>
  <c r="F433" i="3"/>
  <c r="E433" i="3"/>
  <c r="D433" i="3"/>
  <c r="C433" i="3"/>
  <c r="B433" i="3"/>
  <c r="U433" i="3" s="1"/>
  <c r="A433" i="3"/>
  <c r="T432" i="3"/>
  <c r="S432" i="3"/>
  <c r="P432" i="3"/>
  <c r="O432" i="3"/>
  <c r="M432" i="3"/>
  <c r="L432" i="3"/>
  <c r="K432" i="3"/>
  <c r="J432" i="3"/>
  <c r="N432" i="3" s="1"/>
  <c r="I432" i="3"/>
  <c r="H432" i="3"/>
  <c r="G432" i="3"/>
  <c r="F432" i="3"/>
  <c r="E432" i="3"/>
  <c r="D432" i="3"/>
  <c r="C432" i="3"/>
  <c r="B432" i="3"/>
  <c r="U432" i="3" s="1"/>
  <c r="A432" i="3"/>
  <c r="T431" i="3"/>
  <c r="S431" i="3"/>
  <c r="P431" i="3"/>
  <c r="O431" i="3"/>
  <c r="M431" i="3"/>
  <c r="L431" i="3"/>
  <c r="K431" i="3"/>
  <c r="N431" i="3" s="1"/>
  <c r="J431" i="3"/>
  <c r="Q431" i="3" s="1"/>
  <c r="I431" i="3"/>
  <c r="H431" i="3"/>
  <c r="G431" i="3"/>
  <c r="F431" i="3"/>
  <c r="E431" i="3"/>
  <c r="D431" i="3"/>
  <c r="C431" i="3"/>
  <c r="B431" i="3"/>
  <c r="U431" i="3" s="1"/>
  <c r="A431" i="3"/>
  <c r="U430" i="3"/>
  <c r="T430" i="3"/>
  <c r="S430" i="3"/>
  <c r="P430" i="3"/>
  <c r="O430" i="3"/>
  <c r="M430" i="3"/>
  <c r="L430" i="3"/>
  <c r="K430" i="3"/>
  <c r="J430" i="3"/>
  <c r="Q430" i="3" s="1"/>
  <c r="I430" i="3"/>
  <c r="H430" i="3"/>
  <c r="G430" i="3"/>
  <c r="F430" i="3"/>
  <c r="E430" i="3"/>
  <c r="D430" i="3"/>
  <c r="C430" i="3"/>
  <c r="B430" i="3"/>
  <c r="A430" i="3"/>
  <c r="T429" i="3"/>
  <c r="S429" i="3"/>
  <c r="P429" i="3"/>
  <c r="O429" i="3"/>
  <c r="M429" i="3"/>
  <c r="L429" i="3"/>
  <c r="K429" i="3"/>
  <c r="J429" i="3"/>
  <c r="Q429" i="3" s="1"/>
  <c r="I429" i="3"/>
  <c r="H429" i="3"/>
  <c r="G429" i="3"/>
  <c r="F429" i="3"/>
  <c r="E429" i="3"/>
  <c r="D429" i="3"/>
  <c r="C429" i="3"/>
  <c r="B429" i="3"/>
  <c r="U429" i="3" s="1"/>
  <c r="A429" i="3"/>
  <c r="T428" i="3"/>
  <c r="S428" i="3"/>
  <c r="Q428" i="3"/>
  <c r="P428" i="3"/>
  <c r="O428" i="3"/>
  <c r="N428" i="3"/>
  <c r="R428" i="3" s="1"/>
  <c r="M428" i="3"/>
  <c r="L428" i="3"/>
  <c r="K428" i="3"/>
  <c r="J428" i="3"/>
  <c r="I428" i="3"/>
  <c r="H428" i="3"/>
  <c r="G428" i="3"/>
  <c r="F428" i="3"/>
  <c r="E428" i="3"/>
  <c r="D428" i="3"/>
  <c r="C428" i="3"/>
  <c r="B428" i="3"/>
  <c r="U428" i="3" s="1"/>
  <c r="A428" i="3"/>
  <c r="T427" i="3"/>
  <c r="S427" i="3"/>
  <c r="P427" i="3"/>
  <c r="O427" i="3"/>
  <c r="M427" i="3"/>
  <c r="L427" i="3"/>
  <c r="N427" i="3" s="1"/>
  <c r="K427" i="3"/>
  <c r="J427" i="3"/>
  <c r="Q427" i="3" s="1"/>
  <c r="I427" i="3"/>
  <c r="H427" i="3"/>
  <c r="G427" i="3"/>
  <c r="F427" i="3"/>
  <c r="E427" i="3"/>
  <c r="D427" i="3"/>
  <c r="C427" i="3"/>
  <c r="B427" i="3"/>
  <c r="U427" i="3" s="1"/>
  <c r="A427" i="3"/>
  <c r="T426" i="3"/>
  <c r="S426" i="3"/>
  <c r="P426" i="3"/>
  <c r="O426" i="3"/>
  <c r="M426" i="3"/>
  <c r="L426" i="3"/>
  <c r="K426" i="3"/>
  <c r="J426" i="3"/>
  <c r="N426" i="3" s="1"/>
  <c r="I426" i="3"/>
  <c r="H426" i="3"/>
  <c r="G426" i="3"/>
  <c r="F426" i="3"/>
  <c r="E426" i="3"/>
  <c r="D426" i="3"/>
  <c r="C426" i="3"/>
  <c r="B426" i="3"/>
  <c r="U426" i="3" s="1"/>
  <c r="A426" i="3"/>
  <c r="T425" i="3"/>
  <c r="S425" i="3"/>
  <c r="P425" i="3"/>
  <c r="O425" i="3"/>
  <c r="M425" i="3"/>
  <c r="L425" i="3"/>
  <c r="K425" i="3"/>
  <c r="N425" i="3" s="1"/>
  <c r="R425" i="3" s="1"/>
  <c r="J425" i="3"/>
  <c r="Q425" i="3" s="1"/>
  <c r="I425" i="3"/>
  <c r="H425" i="3"/>
  <c r="G425" i="3"/>
  <c r="F425" i="3"/>
  <c r="E425" i="3"/>
  <c r="D425" i="3"/>
  <c r="C425" i="3"/>
  <c r="B425" i="3"/>
  <c r="U425" i="3" s="1"/>
  <c r="A425" i="3"/>
  <c r="U424" i="3"/>
  <c r="T424" i="3"/>
  <c r="S424" i="3"/>
  <c r="P424" i="3"/>
  <c r="O424" i="3"/>
  <c r="M424" i="3"/>
  <c r="L424" i="3"/>
  <c r="K424" i="3"/>
  <c r="J424" i="3"/>
  <c r="Q424" i="3" s="1"/>
  <c r="I424" i="3"/>
  <c r="H424" i="3"/>
  <c r="G424" i="3"/>
  <c r="F424" i="3"/>
  <c r="E424" i="3"/>
  <c r="D424" i="3"/>
  <c r="C424" i="3"/>
  <c r="B424" i="3"/>
  <c r="A424" i="3"/>
  <c r="T423" i="3"/>
  <c r="S423" i="3"/>
  <c r="P423" i="3"/>
  <c r="O423" i="3"/>
  <c r="M423" i="3"/>
  <c r="L423" i="3"/>
  <c r="K423" i="3"/>
  <c r="J423" i="3"/>
  <c r="Q423" i="3" s="1"/>
  <c r="I423" i="3"/>
  <c r="H423" i="3"/>
  <c r="G423" i="3"/>
  <c r="F423" i="3"/>
  <c r="E423" i="3"/>
  <c r="D423" i="3"/>
  <c r="C423" i="3"/>
  <c r="B423" i="3"/>
  <c r="U423" i="3" s="1"/>
  <c r="A423" i="3"/>
  <c r="T422" i="3"/>
  <c r="S422" i="3"/>
  <c r="Q422" i="3"/>
  <c r="P422" i="3"/>
  <c r="O422" i="3"/>
  <c r="N422" i="3"/>
  <c r="R422" i="3" s="1"/>
  <c r="M422" i="3"/>
  <c r="L422" i="3"/>
  <c r="K422" i="3"/>
  <c r="J422" i="3"/>
  <c r="I422" i="3"/>
  <c r="H422" i="3"/>
  <c r="G422" i="3"/>
  <c r="F422" i="3"/>
  <c r="E422" i="3"/>
  <c r="D422" i="3"/>
  <c r="C422" i="3"/>
  <c r="B422" i="3"/>
  <c r="U422" i="3" s="1"/>
  <c r="A422" i="3"/>
  <c r="T421" i="3"/>
  <c r="S421" i="3"/>
  <c r="P421" i="3"/>
  <c r="O421" i="3"/>
  <c r="M421" i="3"/>
  <c r="L421" i="3"/>
  <c r="N421" i="3" s="1"/>
  <c r="K421" i="3"/>
  <c r="J421" i="3"/>
  <c r="Q421" i="3" s="1"/>
  <c r="I421" i="3"/>
  <c r="H421" i="3"/>
  <c r="G421" i="3"/>
  <c r="F421" i="3"/>
  <c r="E421" i="3"/>
  <c r="D421" i="3"/>
  <c r="C421" i="3"/>
  <c r="B421" i="3"/>
  <c r="U421" i="3" s="1"/>
  <c r="A421" i="3"/>
  <c r="T420" i="3"/>
  <c r="S420" i="3"/>
  <c r="P420" i="3"/>
  <c r="O420" i="3"/>
  <c r="M420" i="3"/>
  <c r="L420" i="3"/>
  <c r="K420" i="3"/>
  <c r="J420" i="3"/>
  <c r="N420" i="3" s="1"/>
  <c r="I420" i="3"/>
  <c r="H420" i="3"/>
  <c r="G420" i="3"/>
  <c r="F420" i="3"/>
  <c r="E420" i="3"/>
  <c r="D420" i="3"/>
  <c r="C420" i="3"/>
  <c r="B420" i="3"/>
  <c r="U420" i="3" s="1"/>
  <c r="A420" i="3"/>
  <c r="T419" i="3"/>
  <c r="S419" i="3"/>
  <c r="P419" i="3"/>
  <c r="O419" i="3"/>
  <c r="M419" i="3"/>
  <c r="L419" i="3"/>
  <c r="K419" i="3"/>
  <c r="N419" i="3" s="1"/>
  <c r="J419" i="3"/>
  <c r="Q419" i="3" s="1"/>
  <c r="I419" i="3"/>
  <c r="H419" i="3"/>
  <c r="G419" i="3"/>
  <c r="F419" i="3"/>
  <c r="E419" i="3"/>
  <c r="D419" i="3"/>
  <c r="C419" i="3"/>
  <c r="B419" i="3"/>
  <c r="U419" i="3" s="1"/>
  <c r="A419" i="3"/>
  <c r="U418" i="3"/>
  <c r="T418" i="3"/>
  <c r="S418" i="3"/>
  <c r="P418" i="3"/>
  <c r="O418" i="3"/>
  <c r="M418" i="3"/>
  <c r="L418" i="3"/>
  <c r="K418" i="3"/>
  <c r="J418" i="3"/>
  <c r="Q418" i="3" s="1"/>
  <c r="I418" i="3"/>
  <c r="H418" i="3"/>
  <c r="G418" i="3"/>
  <c r="F418" i="3"/>
  <c r="E418" i="3"/>
  <c r="D418" i="3"/>
  <c r="C418" i="3"/>
  <c r="B418" i="3"/>
  <c r="A418" i="3"/>
  <c r="T417" i="3"/>
  <c r="S417" i="3"/>
  <c r="P417" i="3"/>
  <c r="O417" i="3"/>
  <c r="M417" i="3"/>
  <c r="L417" i="3"/>
  <c r="K417" i="3"/>
  <c r="J417" i="3"/>
  <c r="Q417" i="3" s="1"/>
  <c r="I417" i="3"/>
  <c r="H417" i="3"/>
  <c r="G417" i="3"/>
  <c r="F417" i="3"/>
  <c r="E417" i="3"/>
  <c r="D417" i="3"/>
  <c r="C417" i="3"/>
  <c r="B417" i="3"/>
  <c r="U417" i="3" s="1"/>
  <c r="A417" i="3"/>
  <c r="T416" i="3"/>
  <c r="S416" i="3"/>
  <c r="Q416" i="3"/>
  <c r="P416" i="3"/>
  <c r="O416" i="3"/>
  <c r="N416" i="3"/>
  <c r="R416" i="3" s="1"/>
  <c r="M416" i="3"/>
  <c r="L416" i="3"/>
  <c r="K416" i="3"/>
  <c r="J416" i="3"/>
  <c r="I416" i="3"/>
  <c r="H416" i="3"/>
  <c r="G416" i="3"/>
  <c r="F416" i="3"/>
  <c r="E416" i="3"/>
  <c r="D416" i="3"/>
  <c r="C416" i="3"/>
  <c r="B416" i="3"/>
  <c r="U416" i="3" s="1"/>
  <c r="A416" i="3"/>
  <c r="T415" i="3"/>
  <c r="S415" i="3"/>
  <c r="P415" i="3"/>
  <c r="O415" i="3"/>
  <c r="M415" i="3"/>
  <c r="L415" i="3"/>
  <c r="N415" i="3" s="1"/>
  <c r="K415" i="3"/>
  <c r="J415" i="3"/>
  <c r="Q415" i="3" s="1"/>
  <c r="I415" i="3"/>
  <c r="H415" i="3"/>
  <c r="G415" i="3"/>
  <c r="F415" i="3"/>
  <c r="E415" i="3"/>
  <c r="D415" i="3"/>
  <c r="C415" i="3"/>
  <c r="B415" i="3"/>
  <c r="U415" i="3" s="1"/>
  <c r="A415" i="3"/>
  <c r="T414" i="3"/>
  <c r="S414" i="3"/>
  <c r="P414" i="3"/>
  <c r="O414" i="3"/>
  <c r="M414" i="3"/>
  <c r="L414" i="3"/>
  <c r="K414" i="3"/>
  <c r="J414" i="3"/>
  <c r="N414" i="3" s="1"/>
  <c r="I414" i="3"/>
  <c r="H414" i="3"/>
  <c r="G414" i="3"/>
  <c r="F414" i="3"/>
  <c r="E414" i="3"/>
  <c r="D414" i="3"/>
  <c r="C414" i="3"/>
  <c r="B414" i="3"/>
  <c r="U414" i="3" s="1"/>
  <c r="A414" i="3"/>
  <c r="T413" i="3"/>
  <c r="S413" i="3"/>
  <c r="Q413" i="3"/>
  <c r="P413" i="3"/>
  <c r="O413" i="3"/>
  <c r="M413" i="3"/>
  <c r="L413" i="3"/>
  <c r="K413" i="3"/>
  <c r="N413" i="3" s="1"/>
  <c r="R413" i="3" s="1"/>
  <c r="J413" i="3"/>
  <c r="I413" i="3"/>
  <c r="H413" i="3"/>
  <c r="G413" i="3"/>
  <c r="F413" i="3"/>
  <c r="E413" i="3"/>
  <c r="D413" i="3"/>
  <c r="C413" i="3"/>
  <c r="B413" i="3"/>
  <c r="U413" i="3" s="1"/>
  <c r="A413" i="3"/>
  <c r="U412" i="3"/>
  <c r="T412" i="3"/>
  <c r="S412" i="3"/>
  <c r="P412" i="3"/>
  <c r="O412" i="3"/>
  <c r="M412" i="3"/>
  <c r="L412" i="3"/>
  <c r="K412" i="3"/>
  <c r="J412" i="3"/>
  <c r="Q412" i="3" s="1"/>
  <c r="I412" i="3"/>
  <c r="H412" i="3"/>
  <c r="G412" i="3"/>
  <c r="F412" i="3"/>
  <c r="E412" i="3"/>
  <c r="D412" i="3"/>
  <c r="C412" i="3"/>
  <c r="B412" i="3"/>
  <c r="A412" i="3"/>
  <c r="T411" i="3"/>
  <c r="S411" i="3"/>
  <c r="P411" i="3"/>
  <c r="O411" i="3"/>
  <c r="M411" i="3"/>
  <c r="L411" i="3"/>
  <c r="K411" i="3"/>
  <c r="J411" i="3"/>
  <c r="Q411" i="3" s="1"/>
  <c r="I411" i="3"/>
  <c r="H411" i="3"/>
  <c r="G411" i="3"/>
  <c r="F411" i="3"/>
  <c r="E411" i="3"/>
  <c r="D411" i="3"/>
  <c r="C411" i="3"/>
  <c r="B411" i="3"/>
  <c r="U411" i="3" s="1"/>
  <c r="A411" i="3"/>
  <c r="T410" i="3"/>
  <c r="S410" i="3"/>
  <c r="P410" i="3"/>
  <c r="Q410" i="3" s="1"/>
  <c r="O410" i="3"/>
  <c r="N410" i="3"/>
  <c r="R410" i="3" s="1"/>
  <c r="M410" i="3"/>
  <c r="L410" i="3"/>
  <c r="K410" i="3"/>
  <c r="J410" i="3"/>
  <c r="I410" i="3"/>
  <c r="H410" i="3"/>
  <c r="G410" i="3"/>
  <c r="F410" i="3"/>
  <c r="E410" i="3"/>
  <c r="D410" i="3"/>
  <c r="C410" i="3"/>
  <c r="B410" i="3"/>
  <c r="U410" i="3" s="1"/>
  <c r="A410" i="3"/>
  <c r="T409" i="3"/>
  <c r="S409" i="3"/>
  <c r="P409" i="3"/>
  <c r="O409" i="3"/>
  <c r="M409" i="3"/>
  <c r="L409" i="3"/>
  <c r="N409" i="3" s="1"/>
  <c r="R409" i="3" s="1"/>
  <c r="K409" i="3"/>
  <c r="J409" i="3"/>
  <c r="Q409" i="3" s="1"/>
  <c r="I409" i="3"/>
  <c r="H409" i="3"/>
  <c r="G409" i="3"/>
  <c r="F409" i="3"/>
  <c r="E409" i="3"/>
  <c r="D409" i="3"/>
  <c r="C409" i="3"/>
  <c r="B409" i="3"/>
  <c r="U409" i="3" s="1"/>
  <c r="A409" i="3"/>
  <c r="T408" i="3"/>
  <c r="S408" i="3"/>
  <c r="P408" i="3"/>
  <c r="O408" i="3"/>
  <c r="M408" i="3"/>
  <c r="L408" i="3"/>
  <c r="K408" i="3"/>
  <c r="J408" i="3"/>
  <c r="N408" i="3" s="1"/>
  <c r="I408" i="3"/>
  <c r="H408" i="3"/>
  <c r="G408" i="3"/>
  <c r="F408" i="3"/>
  <c r="E408" i="3"/>
  <c r="D408" i="3"/>
  <c r="C408" i="3"/>
  <c r="B408" i="3"/>
  <c r="U408" i="3" s="1"/>
  <c r="A408" i="3"/>
  <c r="T407" i="3"/>
  <c r="S407" i="3"/>
  <c r="P407" i="3"/>
  <c r="O407" i="3"/>
  <c r="M407" i="3"/>
  <c r="L407" i="3"/>
  <c r="K407" i="3"/>
  <c r="J407" i="3"/>
  <c r="Q407" i="3" s="1"/>
  <c r="I407" i="3"/>
  <c r="H407" i="3"/>
  <c r="G407" i="3"/>
  <c r="F407" i="3"/>
  <c r="E407" i="3"/>
  <c r="D407" i="3"/>
  <c r="C407" i="3"/>
  <c r="B407" i="3"/>
  <c r="U407" i="3" s="1"/>
  <c r="A407" i="3"/>
  <c r="U406" i="3"/>
  <c r="T406" i="3"/>
  <c r="S406" i="3"/>
  <c r="P406" i="3"/>
  <c r="O406" i="3"/>
  <c r="M406" i="3"/>
  <c r="L406" i="3"/>
  <c r="K406" i="3"/>
  <c r="J406" i="3"/>
  <c r="Q406" i="3" s="1"/>
  <c r="I406" i="3"/>
  <c r="H406" i="3"/>
  <c r="G406" i="3"/>
  <c r="F406" i="3"/>
  <c r="E406" i="3"/>
  <c r="D406" i="3"/>
  <c r="C406" i="3"/>
  <c r="B406" i="3"/>
  <c r="A406" i="3"/>
  <c r="T405" i="3"/>
  <c r="S405" i="3"/>
  <c r="P405" i="3"/>
  <c r="O405" i="3"/>
  <c r="M405" i="3"/>
  <c r="L405" i="3"/>
  <c r="K405" i="3"/>
  <c r="J405" i="3"/>
  <c r="Q405" i="3" s="1"/>
  <c r="I405" i="3"/>
  <c r="H405" i="3"/>
  <c r="G405" i="3"/>
  <c r="F405" i="3"/>
  <c r="E405" i="3"/>
  <c r="D405" i="3"/>
  <c r="C405" i="3"/>
  <c r="B405" i="3"/>
  <c r="U405" i="3" s="1"/>
  <c r="A405" i="3"/>
  <c r="T404" i="3"/>
  <c r="S404" i="3"/>
  <c r="P404" i="3"/>
  <c r="Q404" i="3" s="1"/>
  <c r="O404" i="3"/>
  <c r="N404" i="3"/>
  <c r="M404" i="3"/>
  <c r="L404" i="3"/>
  <c r="K404" i="3"/>
  <c r="J404" i="3"/>
  <c r="I404" i="3"/>
  <c r="H404" i="3"/>
  <c r="G404" i="3"/>
  <c r="F404" i="3"/>
  <c r="E404" i="3"/>
  <c r="D404" i="3"/>
  <c r="C404" i="3"/>
  <c r="B404" i="3"/>
  <c r="U404" i="3" s="1"/>
  <c r="A404" i="3"/>
  <c r="T403" i="3"/>
  <c r="S403" i="3"/>
  <c r="P403" i="3"/>
  <c r="O403" i="3"/>
  <c r="M403" i="3"/>
  <c r="L403" i="3"/>
  <c r="N403" i="3" s="1"/>
  <c r="K403" i="3"/>
  <c r="J403" i="3"/>
  <c r="Q403" i="3" s="1"/>
  <c r="I403" i="3"/>
  <c r="H403" i="3"/>
  <c r="G403" i="3"/>
  <c r="F403" i="3"/>
  <c r="E403" i="3"/>
  <c r="D403" i="3"/>
  <c r="C403" i="3"/>
  <c r="B403" i="3"/>
  <c r="U403" i="3" s="1"/>
  <c r="A403" i="3"/>
  <c r="T402" i="3"/>
  <c r="S402" i="3"/>
  <c r="P402" i="3"/>
  <c r="O402" i="3"/>
  <c r="M402" i="3"/>
  <c r="L402" i="3"/>
  <c r="K402" i="3"/>
  <c r="J402" i="3"/>
  <c r="N402" i="3" s="1"/>
  <c r="I402" i="3"/>
  <c r="H402" i="3"/>
  <c r="G402" i="3"/>
  <c r="F402" i="3"/>
  <c r="E402" i="3"/>
  <c r="D402" i="3"/>
  <c r="C402" i="3"/>
  <c r="B402" i="3"/>
  <c r="U402" i="3" s="1"/>
  <c r="A402" i="3"/>
  <c r="T401" i="3"/>
  <c r="S401" i="3"/>
  <c r="P401" i="3"/>
  <c r="O401" i="3"/>
  <c r="M401" i="3"/>
  <c r="L401" i="3"/>
  <c r="K401" i="3"/>
  <c r="J401" i="3"/>
  <c r="Q401" i="3" s="1"/>
  <c r="I401" i="3"/>
  <c r="H401" i="3"/>
  <c r="G401" i="3"/>
  <c r="F401" i="3"/>
  <c r="E401" i="3"/>
  <c r="D401" i="3"/>
  <c r="C401" i="3"/>
  <c r="B401" i="3"/>
  <c r="U401" i="3" s="1"/>
  <c r="A401" i="3"/>
  <c r="U400" i="3"/>
  <c r="T400" i="3"/>
  <c r="S400" i="3"/>
  <c r="P400" i="3"/>
  <c r="O400" i="3"/>
  <c r="M400" i="3"/>
  <c r="L400" i="3"/>
  <c r="K400" i="3"/>
  <c r="J400" i="3"/>
  <c r="Q400" i="3" s="1"/>
  <c r="I400" i="3"/>
  <c r="H400" i="3"/>
  <c r="G400" i="3"/>
  <c r="F400" i="3"/>
  <c r="E400" i="3"/>
  <c r="D400" i="3"/>
  <c r="C400" i="3"/>
  <c r="B400" i="3"/>
  <c r="A400" i="3"/>
  <c r="T399" i="3"/>
  <c r="S399" i="3"/>
  <c r="P399" i="3"/>
  <c r="O399" i="3"/>
  <c r="M399" i="3"/>
  <c r="L399" i="3"/>
  <c r="K399" i="3"/>
  <c r="J399" i="3"/>
  <c r="Q399" i="3" s="1"/>
  <c r="I399" i="3"/>
  <c r="H399" i="3"/>
  <c r="G399" i="3"/>
  <c r="F399" i="3"/>
  <c r="E399" i="3"/>
  <c r="D399" i="3"/>
  <c r="C399" i="3"/>
  <c r="B399" i="3"/>
  <c r="U399" i="3" s="1"/>
  <c r="A399" i="3"/>
  <c r="T398" i="3"/>
  <c r="S398" i="3"/>
  <c r="P398" i="3"/>
  <c r="Q398" i="3" s="1"/>
  <c r="O398" i="3"/>
  <c r="N398" i="3"/>
  <c r="R398" i="3" s="1"/>
  <c r="M398" i="3"/>
  <c r="L398" i="3"/>
  <c r="K398" i="3"/>
  <c r="J398" i="3"/>
  <c r="I398" i="3"/>
  <c r="H398" i="3"/>
  <c r="G398" i="3"/>
  <c r="F398" i="3"/>
  <c r="E398" i="3"/>
  <c r="D398" i="3"/>
  <c r="C398" i="3"/>
  <c r="B398" i="3"/>
  <c r="U398" i="3" s="1"/>
  <c r="A398" i="3"/>
  <c r="T397" i="3"/>
  <c r="S397" i="3"/>
  <c r="P397" i="3"/>
  <c r="O397" i="3"/>
  <c r="M397" i="3"/>
  <c r="L397" i="3"/>
  <c r="N397" i="3" s="1"/>
  <c r="R397" i="3" s="1"/>
  <c r="K397" i="3"/>
  <c r="J397" i="3"/>
  <c r="Q397" i="3" s="1"/>
  <c r="I397" i="3"/>
  <c r="H397" i="3"/>
  <c r="G397" i="3"/>
  <c r="F397" i="3"/>
  <c r="E397" i="3"/>
  <c r="D397" i="3"/>
  <c r="C397" i="3"/>
  <c r="B397" i="3"/>
  <c r="U397" i="3" s="1"/>
  <c r="A397" i="3"/>
  <c r="T396" i="3"/>
  <c r="S396" i="3"/>
  <c r="P396" i="3"/>
  <c r="O396" i="3"/>
  <c r="M396" i="3"/>
  <c r="L396" i="3"/>
  <c r="K396" i="3"/>
  <c r="J396" i="3"/>
  <c r="N396" i="3" s="1"/>
  <c r="I396" i="3"/>
  <c r="H396" i="3"/>
  <c r="G396" i="3"/>
  <c r="F396" i="3"/>
  <c r="E396" i="3"/>
  <c r="D396" i="3"/>
  <c r="C396" i="3"/>
  <c r="B396" i="3"/>
  <c r="U396" i="3" s="1"/>
  <c r="A396" i="3"/>
  <c r="T395" i="3"/>
  <c r="S395" i="3"/>
  <c r="P395" i="3"/>
  <c r="O395" i="3"/>
  <c r="M395" i="3"/>
  <c r="L395" i="3"/>
  <c r="K395" i="3"/>
  <c r="J395" i="3"/>
  <c r="Q395" i="3" s="1"/>
  <c r="I395" i="3"/>
  <c r="H395" i="3"/>
  <c r="G395" i="3"/>
  <c r="F395" i="3"/>
  <c r="E395" i="3"/>
  <c r="D395" i="3"/>
  <c r="C395" i="3"/>
  <c r="B395" i="3"/>
  <c r="U395" i="3" s="1"/>
  <c r="A395" i="3"/>
  <c r="U394" i="3"/>
  <c r="T394" i="3"/>
  <c r="S394" i="3"/>
  <c r="P394" i="3"/>
  <c r="O394" i="3"/>
  <c r="M394" i="3"/>
  <c r="L394" i="3"/>
  <c r="K394" i="3"/>
  <c r="J394" i="3"/>
  <c r="I394" i="3"/>
  <c r="H394" i="3"/>
  <c r="G394" i="3"/>
  <c r="F394" i="3"/>
  <c r="E394" i="3"/>
  <c r="D394" i="3"/>
  <c r="C394" i="3"/>
  <c r="B394" i="3"/>
  <c r="A394" i="3"/>
  <c r="T393" i="3"/>
  <c r="S393" i="3"/>
  <c r="P393" i="3"/>
  <c r="O393" i="3"/>
  <c r="N393" i="3"/>
  <c r="R393" i="3" s="1"/>
  <c r="M393" i="3"/>
  <c r="L393" i="3"/>
  <c r="K393" i="3"/>
  <c r="J393" i="3"/>
  <c r="Q393" i="3" s="1"/>
  <c r="I393" i="3"/>
  <c r="H393" i="3"/>
  <c r="G393" i="3"/>
  <c r="F393" i="3"/>
  <c r="E393" i="3"/>
  <c r="D393" i="3"/>
  <c r="C393" i="3"/>
  <c r="B393" i="3"/>
  <c r="U393" i="3" s="1"/>
  <c r="A393" i="3"/>
  <c r="T392" i="3"/>
  <c r="S392" i="3"/>
  <c r="Q392" i="3"/>
  <c r="P392" i="3"/>
  <c r="O392" i="3"/>
  <c r="M392" i="3"/>
  <c r="L392" i="3"/>
  <c r="N392" i="3" s="1"/>
  <c r="K392" i="3"/>
  <c r="J392" i="3"/>
  <c r="I392" i="3"/>
  <c r="H392" i="3"/>
  <c r="G392" i="3"/>
  <c r="F392" i="3"/>
  <c r="E392" i="3"/>
  <c r="D392" i="3"/>
  <c r="C392" i="3"/>
  <c r="B392" i="3"/>
  <c r="U392" i="3" s="1"/>
  <c r="A392" i="3"/>
  <c r="T391" i="3"/>
  <c r="S391" i="3"/>
  <c r="P391" i="3"/>
  <c r="O391" i="3"/>
  <c r="M391" i="3"/>
  <c r="L391" i="3"/>
  <c r="K391" i="3"/>
  <c r="J391" i="3"/>
  <c r="I391" i="3"/>
  <c r="H391" i="3"/>
  <c r="G391" i="3"/>
  <c r="F391" i="3"/>
  <c r="E391" i="3"/>
  <c r="D391" i="3"/>
  <c r="C391" i="3"/>
  <c r="B391" i="3"/>
  <c r="U391" i="3" s="1"/>
  <c r="A391" i="3"/>
  <c r="T390" i="3"/>
  <c r="S390" i="3"/>
  <c r="P390" i="3"/>
  <c r="O390" i="3"/>
  <c r="M390" i="3"/>
  <c r="L390" i="3"/>
  <c r="K390" i="3"/>
  <c r="J390" i="3"/>
  <c r="N390" i="3" s="1"/>
  <c r="I390" i="3"/>
  <c r="H390" i="3"/>
  <c r="G390" i="3"/>
  <c r="F390" i="3"/>
  <c r="E390" i="3"/>
  <c r="D390" i="3"/>
  <c r="C390" i="3"/>
  <c r="B390" i="3"/>
  <c r="U390" i="3" s="1"/>
  <c r="A390" i="3"/>
  <c r="T389" i="3"/>
  <c r="S389" i="3"/>
  <c r="P389" i="3"/>
  <c r="O389" i="3"/>
  <c r="M389" i="3"/>
  <c r="L389" i="3"/>
  <c r="K389" i="3"/>
  <c r="J389" i="3"/>
  <c r="Q389" i="3" s="1"/>
  <c r="I389" i="3"/>
  <c r="H389" i="3"/>
  <c r="G389" i="3"/>
  <c r="F389" i="3"/>
  <c r="E389" i="3"/>
  <c r="D389" i="3"/>
  <c r="C389" i="3"/>
  <c r="B389" i="3"/>
  <c r="U389" i="3" s="1"/>
  <c r="A389" i="3"/>
  <c r="U388" i="3"/>
  <c r="T388" i="3"/>
  <c r="S388" i="3"/>
  <c r="P388" i="3"/>
  <c r="O388" i="3"/>
  <c r="M388" i="3"/>
  <c r="L388" i="3"/>
  <c r="K388" i="3"/>
  <c r="J388" i="3"/>
  <c r="I388" i="3"/>
  <c r="H388" i="3"/>
  <c r="G388" i="3"/>
  <c r="F388" i="3"/>
  <c r="E388" i="3"/>
  <c r="D388" i="3"/>
  <c r="C388" i="3"/>
  <c r="B388" i="3"/>
  <c r="A388" i="3"/>
  <c r="T387" i="3"/>
  <c r="S387" i="3"/>
  <c r="P387" i="3"/>
  <c r="O387" i="3"/>
  <c r="N387" i="3"/>
  <c r="M387" i="3"/>
  <c r="L387" i="3"/>
  <c r="K387" i="3"/>
  <c r="J387" i="3"/>
  <c r="Q387" i="3" s="1"/>
  <c r="I387" i="3"/>
  <c r="H387" i="3"/>
  <c r="G387" i="3"/>
  <c r="F387" i="3"/>
  <c r="E387" i="3"/>
  <c r="D387" i="3"/>
  <c r="C387" i="3"/>
  <c r="B387" i="3"/>
  <c r="U387" i="3" s="1"/>
  <c r="A387" i="3"/>
  <c r="T386" i="3"/>
  <c r="S386" i="3"/>
  <c r="Q386" i="3"/>
  <c r="P386" i="3"/>
  <c r="O386" i="3"/>
  <c r="M386" i="3"/>
  <c r="L386" i="3"/>
  <c r="N386" i="3" s="1"/>
  <c r="R386" i="3" s="1"/>
  <c r="K386" i="3"/>
  <c r="J386" i="3"/>
  <c r="I386" i="3"/>
  <c r="H386" i="3"/>
  <c r="G386" i="3"/>
  <c r="F386" i="3"/>
  <c r="E386" i="3"/>
  <c r="D386" i="3"/>
  <c r="C386" i="3"/>
  <c r="B386" i="3"/>
  <c r="U386" i="3" s="1"/>
  <c r="A386" i="3"/>
  <c r="T385" i="3"/>
  <c r="S385" i="3"/>
  <c r="P385" i="3"/>
  <c r="O385" i="3"/>
  <c r="M385" i="3"/>
  <c r="L385" i="3"/>
  <c r="K385" i="3"/>
  <c r="J385" i="3"/>
  <c r="I385" i="3"/>
  <c r="H385" i="3"/>
  <c r="G385" i="3"/>
  <c r="F385" i="3"/>
  <c r="E385" i="3"/>
  <c r="D385" i="3"/>
  <c r="C385" i="3"/>
  <c r="B385" i="3"/>
  <c r="U385" i="3" s="1"/>
  <c r="A385" i="3"/>
  <c r="T384" i="3"/>
  <c r="S384" i="3"/>
  <c r="P384" i="3"/>
  <c r="O384" i="3"/>
  <c r="N384" i="3"/>
  <c r="R384" i="3" s="1"/>
  <c r="M384" i="3"/>
  <c r="L384" i="3"/>
  <c r="K384" i="3"/>
  <c r="J384" i="3"/>
  <c r="Q384" i="3" s="1"/>
  <c r="I384" i="3"/>
  <c r="H384" i="3"/>
  <c r="G384" i="3"/>
  <c r="F384" i="3"/>
  <c r="E384" i="3"/>
  <c r="D384" i="3"/>
  <c r="C384" i="3"/>
  <c r="B384" i="3"/>
  <c r="U384" i="3" s="1"/>
  <c r="A384" i="3"/>
  <c r="T383" i="3"/>
  <c r="S383" i="3"/>
  <c r="P383" i="3"/>
  <c r="O383" i="3"/>
  <c r="M383" i="3"/>
  <c r="L383" i="3"/>
  <c r="K383" i="3"/>
  <c r="J383" i="3"/>
  <c r="Q383" i="3" s="1"/>
  <c r="I383" i="3"/>
  <c r="H383" i="3"/>
  <c r="G383" i="3"/>
  <c r="F383" i="3"/>
  <c r="E383" i="3"/>
  <c r="D383" i="3"/>
  <c r="C383" i="3"/>
  <c r="B383" i="3"/>
  <c r="U383" i="3" s="1"/>
  <c r="A383" i="3"/>
  <c r="U382" i="3"/>
  <c r="T382" i="3"/>
  <c r="S382" i="3"/>
  <c r="P382" i="3"/>
  <c r="O382" i="3"/>
  <c r="M382" i="3"/>
  <c r="L382" i="3"/>
  <c r="K382" i="3"/>
  <c r="J382" i="3"/>
  <c r="I382" i="3"/>
  <c r="H382" i="3"/>
  <c r="G382" i="3"/>
  <c r="F382" i="3"/>
  <c r="E382" i="3"/>
  <c r="D382" i="3"/>
  <c r="C382" i="3"/>
  <c r="B382" i="3"/>
  <c r="A382" i="3"/>
  <c r="T381" i="3"/>
  <c r="S381" i="3"/>
  <c r="P381" i="3"/>
  <c r="O381" i="3"/>
  <c r="N381" i="3"/>
  <c r="M381" i="3"/>
  <c r="L381" i="3"/>
  <c r="K381" i="3"/>
  <c r="J381" i="3"/>
  <c r="Q381" i="3" s="1"/>
  <c r="I381" i="3"/>
  <c r="H381" i="3"/>
  <c r="G381" i="3"/>
  <c r="F381" i="3"/>
  <c r="E381" i="3"/>
  <c r="D381" i="3"/>
  <c r="C381" i="3"/>
  <c r="B381" i="3"/>
  <c r="U381" i="3" s="1"/>
  <c r="A381" i="3"/>
  <c r="T380" i="3"/>
  <c r="S380" i="3"/>
  <c r="Q380" i="3"/>
  <c r="P380" i="3"/>
  <c r="O380" i="3"/>
  <c r="M380" i="3"/>
  <c r="L380" i="3"/>
  <c r="N380" i="3" s="1"/>
  <c r="R380" i="3" s="1"/>
  <c r="K380" i="3"/>
  <c r="J380" i="3"/>
  <c r="I380" i="3"/>
  <c r="H380" i="3"/>
  <c r="G380" i="3"/>
  <c r="F380" i="3"/>
  <c r="E380" i="3"/>
  <c r="D380" i="3"/>
  <c r="C380" i="3"/>
  <c r="B380" i="3"/>
  <c r="U380" i="3" s="1"/>
  <c r="A380" i="3"/>
  <c r="T379" i="3"/>
  <c r="S379" i="3"/>
  <c r="P379" i="3"/>
  <c r="O379" i="3"/>
  <c r="M379" i="3"/>
  <c r="L379" i="3"/>
  <c r="K379" i="3"/>
  <c r="J379" i="3"/>
  <c r="I379" i="3"/>
  <c r="H379" i="3"/>
  <c r="G379" i="3"/>
  <c r="F379" i="3"/>
  <c r="E379" i="3"/>
  <c r="D379" i="3"/>
  <c r="C379" i="3"/>
  <c r="B379" i="3"/>
  <c r="U379" i="3" s="1"/>
  <c r="A379" i="3"/>
  <c r="T378" i="3"/>
  <c r="S378" i="3"/>
  <c r="P378" i="3"/>
  <c r="O378" i="3"/>
  <c r="N378" i="3"/>
  <c r="M378" i="3"/>
  <c r="L378" i="3"/>
  <c r="K378" i="3"/>
  <c r="J378" i="3"/>
  <c r="Q378" i="3" s="1"/>
  <c r="I378" i="3"/>
  <c r="H378" i="3"/>
  <c r="G378" i="3"/>
  <c r="F378" i="3"/>
  <c r="E378" i="3"/>
  <c r="D378" i="3"/>
  <c r="C378" i="3"/>
  <c r="B378" i="3"/>
  <c r="U378" i="3" s="1"/>
  <c r="A378" i="3"/>
  <c r="T377" i="3"/>
  <c r="S377" i="3"/>
  <c r="P377" i="3"/>
  <c r="O377" i="3"/>
  <c r="M377" i="3"/>
  <c r="L377" i="3"/>
  <c r="K377" i="3"/>
  <c r="J377" i="3"/>
  <c r="Q377" i="3" s="1"/>
  <c r="I377" i="3"/>
  <c r="H377" i="3"/>
  <c r="G377" i="3"/>
  <c r="F377" i="3"/>
  <c r="E377" i="3"/>
  <c r="D377" i="3"/>
  <c r="C377" i="3"/>
  <c r="B377" i="3"/>
  <c r="U377" i="3" s="1"/>
  <c r="A377" i="3"/>
  <c r="U376" i="3"/>
  <c r="T376" i="3"/>
  <c r="S376" i="3"/>
  <c r="P376" i="3"/>
  <c r="O376" i="3"/>
  <c r="M376" i="3"/>
  <c r="L376" i="3"/>
  <c r="K376" i="3"/>
  <c r="J376" i="3"/>
  <c r="I376" i="3"/>
  <c r="H376" i="3"/>
  <c r="G376" i="3"/>
  <c r="F376" i="3"/>
  <c r="E376" i="3"/>
  <c r="D376" i="3"/>
  <c r="C376" i="3"/>
  <c r="B376" i="3"/>
  <c r="A376" i="3"/>
  <c r="T375" i="3"/>
  <c r="S375" i="3"/>
  <c r="P375" i="3"/>
  <c r="O375" i="3"/>
  <c r="N375" i="3"/>
  <c r="M375" i="3"/>
  <c r="L375" i="3"/>
  <c r="K375" i="3"/>
  <c r="J375" i="3"/>
  <c r="Q375" i="3" s="1"/>
  <c r="I375" i="3"/>
  <c r="H375" i="3"/>
  <c r="G375" i="3"/>
  <c r="F375" i="3"/>
  <c r="E375" i="3"/>
  <c r="D375" i="3"/>
  <c r="C375" i="3"/>
  <c r="B375" i="3"/>
  <c r="U375" i="3" s="1"/>
  <c r="A375" i="3"/>
  <c r="T374" i="3"/>
  <c r="S374" i="3"/>
  <c r="R374" i="3"/>
  <c r="Q374" i="3"/>
  <c r="P374" i="3"/>
  <c r="O374" i="3"/>
  <c r="M374" i="3"/>
  <c r="L374" i="3"/>
  <c r="N374" i="3" s="1"/>
  <c r="K374" i="3"/>
  <c r="J374" i="3"/>
  <c r="I374" i="3"/>
  <c r="H374" i="3"/>
  <c r="G374" i="3"/>
  <c r="F374" i="3"/>
  <c r="E374" i="3"/>
  <c r="D374" i="3"/>
  <c r="C374" i="3"/>
  <c r="B374" i="3"/>
  <c r="U374" i="3" s="1"/>
  <c r="A374" i="3"/>
  <c r="T373" i="3"/>
  <c r="S373" i="3"/>
  <c r="P373" i="3"/>
  <c r="O373" i="3"/>
  <c r="M373" i="3"/>
  <c r="L373" i="3"/>
  <c r="K373" i="3"/>
  <c r="J373" i="3"/>
  <c r="I373" i="3"/>
  <c r="H373" i="3"/>
  <c r="G373" i="3"/>
  <c r="F373" i="3"/>
  <c r="E373" i="3"/>
  <c r="D373" i="3"/>
  <c r="C373" i="3"/>
  <c r="B373" i="3"/>
  <c r="U373" i="3" s="1"/>
  <c r="A373" i="3"/>
  <c r="T372" i="3"/>
  <c r="S372" i="3"/>
  <c r="P372" i="3"/>
  <c r="O372" i="3"/>
  <c r="N372" i="3"/>
  <c r="R372" i="3" s="1"/>
  <c r="M372" i="3"/>
  <c r="L372" i="3"/>
  <c r="K372" i="3"/>
  <c r="J372" i="3"/>
  <c r="Q372" i="3" s="1"/>
  <c r="I372" i="3"/>
  <c r="H372" i="3"/>
  <c r="G372" i="3"/>
  <c r="F372" i="3"/>
  <c r="E372" i="3"/>
  <c r="D372" i="3"/>
  <c r="C372" i="3"/>
  <c r="B372" i="3"/>
  <c r="U372" i="3" s="1"/>
  <c r="A372" i="3"/>
  <c r="T371" i="3"/>
  <c r="S371" i="3"/>
  <c r="P371" i="3"/>
  <c r="O371" i="3"/>
  <c r="M371" i="3"/>
  <c r="L371" i="3"/>
  <c r="K371" i="3"/>
  <c r="J371" i="3"/>
  <c r="Q371" i="3" s="1"/>
  <c r="I371" i="3"/>
  <c r="H371" i="3"/>
  <c r="G371" i="3"/>
  <c r="F371" i="3"/>
  <c r="E371" i="3"/>
  <c r="D371" i="3"/>
  <c r="C371" i="3"/>
  <c r="B371" i="3"/>
  <c r="U371" i="3" s="1"/>
  <c r="A371" i="3"/>
  <c r="U370" i="3"/>
  <c r="T370" i="3"/>
  <c r="S370" i="3"/>
  <c r="P370" i="3"/>
  <c r="O370" i="3"/>
  <c r="M370" i="3"/>
  <c r="L370" i="3"/>
  <c r="K370" i="3"/>
  <c r="J370" i="3"/>
  <c r="I370" i="3"/>
  <c r="H370" i="3"/>
  <c r="G370" i="3"/>
  <c r="F370" i="3"/>
  <c r="E370" i="3"/>
  <c r="D370" i="3"/>
  <c r="C370" i="3"/>
  <c r="B370" i="3"/>
  <c r="A370" i="3"/>
  <c r="T369" i="3"/>
  <c r="S369" i="3"/>
  <c r="P369" i="3"/>
  <c r="O369" i="3"/>
  <c r="N369" i="3"/>
  <c r="M369" i="3"/>
  <c r="L369" i="3"/>
  <c r="K369" i="3"/>
  <c r="J369" i="3"/>
  <c r="I369" i="3"/>
  <c r="H369" i="3"/>
  <c r="G369" i="3"/>
  <c r="F369" i="3"/>
  <c r="E369" i="3"/>
  <c r="D369" i="3"/>
  <c r="C369" i="3"/>
  <c r="B369" i="3"/>
  <c r="U369" i="3" s="1"/>
  <c r="A369" i="3"/>
  <c r="T368" i="3"/>
  <c r="S368" i="3"/>
  <c r="Q368" i="3"/>
  <c r="P368" i="3"/>
  <c r="O368" i="3"/>
  <c r="N368" i="3"/>
  <c r="R368" i="3" s="1"/>
  <c r="M368" i="3"/>
  <c r="L368" i="3"/>
  <c r="K368" i="3"/>
  <c r="J368" i="3"/>
  <c r="I368" i="3"/>
  <c r="H368" i="3"/>
  <c r="G368" i="3"/>
  <c r="F368" i="3"/>
  <c r="E368" i="3"/>
  <c r="D368" i="3"/>
  <c r="C368" i="3"/>
  <c r="B368" i="3"/>
  <c r="U368" i="3" s="1"/>
  <c r="A368" i="3"/>
  <c r="T367" i="3"/>
  <c r="S367" i="3"/>
  <c r="P367" i="3"/>
  <c r="O367" i="3"/>
  <c r="M367" i="3"/>
  <c r="L367" i="3"/>
  <c r="K367" i="3"/>
  <c r="J367" i="3"/>
  <c r="I367" i="3"/>
  <c r="H367" i="3"/>
  <c r="G367" i="3"/>
  <c r="F367" i="3"/>
  <c r="E367" i="3"/>
  <c r="D367" i="3"/>
  <c r="C367" i="3"/>
  <c r="B367" i="3"/>
  <c r="U367" i="3" s="1"/>
  <c r="A367" i="3"/>
  <c r="T366" i="3"/>
  <c r="S366" i="3"/>
  <c r="P366" i="3"/>
  <c r="O366" i="3"/>
  <c r="N366" i="3"/>
  <c r="R366" i="3" s="1"/>
  <c r="M366" i="3"/>
  <c r="L366" i="3"/>
  <c r="K366" i="3"/>
  <c r="J366" i="3"/>
  <c r="Q366" i="3" s="1"/>
  <c r="I366" i="3"/>
  <c r="H366" i="3"/>
  <c r="G366" i="3"/>
  <c r="F366" i="3"/>
  <c r="E366" i="3"/>
  <c r="D366" i="3"/>
  <c r="C366" i="3"/>
  <c r="B366" i="3"/>
  <c r="U366" i="3" s="1"/>
  <c r="A366" i="3"/>
  <c r="T365" i="3"/>
  <c r="S365" i="3"/>
  <c r="P365" i="3"/>
  <c r="O365" i="3"/>
  <c r="M365" i="3"/>
  <c r="L365" i="3"/>
  <c r="K365" i="3"/>
  <c r="J365" i="3"/>
  <c r="Q365" i="3" s="1"/>
  <c r="I365" i="3"/>
  <c r="H365" i="3"/>
  <c r="G365" i="3"/>
  <c r="F365" i="3"/>
  <c r="E365" i="3"/>
  <c r="D365" i="3"/>
  <c r="C365" i="3"/>
  <c r="B365" i="3"/>
  <c r="U365" i="3" s="1"/>
  <c r="A365" i="3"/>
  <c r="U364" i="3"/>
  <c r="T364" i="3"/>
  <c r="S364" i="3"/>
  <c r="P364" i="3"/>
  <c r="O364" i="3"/>
  <c r="M364" i="3"/>
  <c r="L364" i="3"/>
  <c r="K364" i="3"/>
  <c r="J364" i="3"/>
  <c r="I364" i="3"/>
  <c r="H364" i="3"/>
  <c r="G364" i="3"/>
  <c r="F364" i="3"/>
  <c r="E364" i="3"/>
  <c r="D364" i="3"/>
  <c r="C364" i="3"/>
  <c r="B364" i="3"/>
  <c r="A364" i="3"/>
  <c r="T363" i="3"/>
  <c r="S363" i="3"/>
  <c r="P363" i="3"/>
  <c r="O363" i="3"/>
  <c r="N363" i="3"/>
  <c r="M363" i="3"/>
  <c r="L363" i="3"/>
  <c r="K363" i="3"/>
  <c r="J363" i="3"/>
  <c r="Q363" i="3" s="1"/>
  <c r="I363" i="3"/>
  <c r="H363" i="3"/>
  <c r="G363" i="3"/>
  <c r="F363" i="3"/>
  <c r="E363" i="3"/>
  <c r="D363" i="3"/>
  <c r="C363" i="3"/>
  <c r="B363" i="3"/>
  <c r="U363" i="3" s="1"/>
  <c r="A363" i="3"/>
  <c r="T362" i="3"/>
  <c r="S362" i="3"/>
  <c r="Q362" i="3"/>
  <c r="P362" i="3"/>
  <c r="O362" i="3"/>
  <c r="M362" i="3"/>
  <c r="L362" i="3"/>
  <c r="N362" i="3" s="1"/>
  <c r="R362" i="3" s="1"/>
  <c r="K362" i="3"/>
  <c r="J362" i="3"/>
  <c r="I362" i="3"/>
  <c r="H362" i="3"/>
  <c r="G362" i="3"/>
  <c r="F362" i="3"/>
  <c r="E362" i="3"/>
  <c r="D362" i="3"/>
  <c r="C362" i="3"/>
  <c r="B362" i="3"/>
  <c r="U362" i="3" s="1"/>
  <c r="A362" i="3"/>
  <c r="T361" i="3"/>
  <c r="S361" i="3"/>
  <c r="P361" i="3"/>
  <c r="O361" i="3"/>
  <c r="M361" i="3"/>
  <c r="L361" i="3"/>
  <c r="K361" i="3"/>
  <c r="J361" i="3"/>
  <c r="I361" i="3"/>
  <c r="H361" i="3"/>
  <c r="G361" i="3"/>
  <c r="F361" i="3"/>
  <c r="E361" i="3"/>
  <c r="D361" i="3"/>
  <c r="C361" i="3"/>
  <c r="B361" i="3"/>
  <c r="U361" i="3" s="1"/>
  <c r="A361" i="3"/>
  <c r="T360" i="3"/>
  <c r="S360" i="3"/>
  <c r="P360" i="3"/>
  <c r="O360" i="3"/>
  <c r="N360" i="3"/>
  <c r="R360" i="3" s="1"/>
  <c r="M360" i="3"/>
  <c r="L360" i="3"/>
  <c r="K360" i="3"/>
  <c r="J360" i="3"/>
  <c r="Q360" i="3" s="1"/>
  <c r="I360" i="3"/>
  <c r="H360" i="3"/>
  <c r="G360" i="3"/>
  <c r="F360" i="3"/>
  <c r="E360" i="3"/>
  <c r="D360" i="3"/>
  <c r="C360" i="3"/>
  <c r="B360" i="3"/>
  <c r="U360" i="3" s="1"/>
  <c r="A360" i="3"/>
  <c r="T359" i="3"/>
  <c r="S359" i="3"/>
  <c r="P359" i="3"/>
  <c r="O359" i="3"/>
  <c r="M359" i="3"/>
  <c r="L359" i="3"/>
  <c r="K359" i="3"/>
  <c r="J359" i="3"/>
  <c r="Q359" i="3" s="1"/>
  <c r="I359" i="3"/>
  <c r="H359" i="3"/>
  <c r="G359" i="3"/>
  <c r="F359" i="3"/>
  <c r="E359" i="3"/>
  <c r="D359" i="3"/>
  <c r="C359" i="3"/>
  <c r="B359" i="3"/>
  <c r="U359" i="3" s="1"/>
  <c r="A359" i="3"/>
  <c r="U358" i="3"/>
  <c r="T358" i="3"/>
  <c r="S358" i="3"/>
  <c r="P358" i="3"/>
  <c r="O358" i="3"/>
  <c r="M358" i="3"/>
  <c r="L358" i="3"/>
  <c r="K358" i="3"/>
  <c r="J358" i="3"/>
  <c r="I358" i="3"/>
  <c r="H358" i="3"/>
  <c r="G358" i="3"/>
  <c r="F358" i="3"/>
  <c r="E358" i="3"/>
  <c r="D358" i="3"/>
  <c r="C358" i="3"/>
  <c r="B358" i="3"/>
  <c r="A358" i="3"/>
  <c r="T357" i="3"/>
  <c r="S357" i="3"/>
  <c r="P357" i="3"/>
  <c r="O357" i="3"/>
  <c r="N357" i="3"/>
  <c r="M357" i="3"/>
  <c r="L357" i="3"/>
  <c r="K357" i="3"/>
  <c r="J357" i="3"/>
  <c r="I357" i="3"/>
  <c r="H357" i="3"/>
  <c r="G357" i="3"/>
  <c r="F357" i="3"/>
  <c r="E357" i="3"/>
  <c r="D357" i="3"/>
  <c r="C357" i="3"/>
  <c r="B357" i="3"/>
  <c r="U357" i="3" s="1"/>
  <c r="A357" i="3"/>
  <c r="T356" i="3"/>
  <c r="S356" i="3"/>
  <c r="R356" i="3"/>
  <c r="Q356" i="3"/>
  <c r="P356" i="3"/>
  <c r="O356" i="3"/>
  <c r="M356" i="3"/>
  <c r="L356" i="3"/>
  <c r="N356" i="3" s="1"/>
  <c r="K356" i="3"/>
  <c r="J356" i="3"/>
  <c r="I356" i="3"/>
  <c r="H356" i="3"/>
  <c r="G356" i="3"/>
  <c r="F356" i="3"/>
  <c r="E356" i="3"/>
  <c r="D356" i="3"/>
  <c r="C356" i="3"/>
  <c r="B356" i="3"/>
  <c r="U356" i="3" s="1"/>
  <c r="A356" i="3"/>
  <c r="T355" i="3"/>
  <c r="S355" i="3"/>
  <c r="P355" i="3"/>
  <c r="O355" i="3"/>
  <c r="M355" i="3"/>
  <c r="L355" i="3"/>
  <c r="K355" i="3"/>
  <c r="J355" i="3"/>
  <c r="I355" i="3"/>
  <c r="H355" i="3"/>
  <c r="G355" i="3"/>
  <c r="F355" i="3"/>
  <c r="E355" i="3"/>
  <c r="D355" i="3"/>
  <c r="C355" i="3"/>
  <c r="B355" i="3"/>
  <c r="U355" i="3" s="1"/>
  <c r="A355" i="3"/>
  <c r="T354" i="3"/>
  <c r="S354" i="3"/>
  <c r="P354" i="3"/>
  <c r="O354" i="3"/>
  <c r="M354" i="3"/>
  <c r="L354" i="3"/>
  <c r="K354" i="3"/>
  <c r="J354" i="3"/>
  <c r="I354" i="3"/>
  <c r="H354" i="3"/>
  <c r="G354" i="3"/>
  <c r="F354" i="3"/>
  <c r="E354" i="3"/>
  <c r="D354" i="3"/>
  <c r="C354" i="3"/>
  <c r="B354" i="3"/>
  <c r="U354" i="3" s="1"/>
  <c r="A354" i="3"/>
  <c r="T353" i="3"/>
  <c r="S353" i="3"/>
  <c r="P353" i="3"/>
  <c r="O353" i="3"/>
  <c r="M353" i="3"/>
  <c r="L353" i="3"/>
  <c r="K353" i="3"/>
  <c r="J353" i="3"/>
  <c r="Q353" i="3" s="1"/>
  <c r="I353" i="3"/>
  <c r="H353" i="3"/>
  <c r="G353" i="3"/>
  <c r="F353" i="3"/>
  <c r="E353" i="3"/>
  <c r="D353" i="3"/>
  <c r="C353" i="3"/>
  <c r="B353" i="3"/>
  <c r="U353" i="3" s="1"/>
  <c r="A353" i="3"/>
  <c r="U352" i="3"/>
  <c r="T352" i="3"/>
  <c r="S352" i="3"/>
  <c r="P352" i="3"/>
  <c r="O352" i="3"/>
  <c r="M352" i="3"/>
  <c r="L352" i="3"/>
  <c r="K352" i="3"/>
  <c r="J352" i="3"/>
  <c r="I352" i="3"/>
  <c r="H352" i="3"/>
  <c r="G352" i="3"/>
  <c r="F352" i="3"/>
  <c r="E352" i="3"/>
  <c r="D352" i="3"/>
  <c r="C352" i="3"/>
  <c r="B352" i="3"/>
  <c r="A352" i="3"/>
  <c r="T351" i="3"/>
  <c r="S351" i="3"/>
  <c r="P351" i="3"/>
  <c r="O351" i="3"/>
  <c r="N351" i="3"/>
  <c r="M351" i="3"/>
  <c r="L351" i="3"/>
  <c r="K351" i="3"/>
  <c r="J351" i="3"/>
  <c r="I351" i="3"/>
  <c r="H351" i="3"/>
  <c r="G351" i="3"/>
  <c r="F351" i="3"/>
  <c r="E351" i="3"/>
  <c r="D351" i="3"/>
  <c r="C351" i="3"/>
  <c r="B351" i="3"/>
  <c r="U351" i="3" s="1"/>
  <c r="A351" i="3"/>
  <c r="T350" i="3"/>
  <c r="S350" i="3"/>
  <c r="Q350" i="3"/>
  <c r="P350" i="3"/>
  <c r="O350" i="3"/>
  <c r="N350" i="3"/>
  <c r="R350" i="3" s="1"/>
  <c r="M350" i="3"/>
  <c r="L350" i="3"/>
  <c r="K350" i="3"/>
  <c r="J350" i="3"/>
  <c r="I350" i="3"/>
  <c r="H350" i="3"/>
  <c r="G350" i="3"/>
  <c r="F350" i="3"/>
  <c r="E350" i="3"/>
  <c r="D350" i="3"/>
  <c r="C350" i="3"/>
  <c r="B350" i="3"/>
  <c r="U350" i="3" s="1"/>
  <c r="A350" i="3"/>
  <c r="T349" i="3"/>
  <c r="S349" i="3"/>
  <c r="P349" i="3"/>
  <c r="O349" i="3"/>
  <c r="M349" i="3"/>
  <c r="L349" i="3"/>
  <c r="K349" i="3"/>
  <c r="J349" i="3"/>
  <c r="I349" i="3"/>
  <c r="H349" i="3"/>
  <c r="G349" i="3"/>
  <c r="F349" i="3"/>
  <c r="E349" i="3"/>
  <c r="D349" i="3"/>
  <c r="C349" i="3"/>
  <c r="B349" i="3"/>
  <c r="U349" i="3" s="1"/>
  <c r="A349" i="3"/>
  <c r="T348" i="3"/>
  <c r="S348" i="3"/>
  <c r="P348" i="3"/>
  <c r="O348" i="3"/>
  <c r="N348" i="3"/>
  <c r="R348" i="3" s="1"/>
  <c r="M348" i="3"/>
  <c r="L348" i="3"/>
  <c r="K348" i="3"/>
  <c r="J348" i="3"/>
  <c r="Q348" i="3" s="1"/>
  <c r="I348" i="3"/>
  <c r="H348" i="3"/>
  <c r="G348" i="3"/>
  <c r="F348" i="3"/>
  <c r="E348" i="3"/>
  <c r="D348" i="3"/>
  <c r="C348" i="3"/>
  <c r="B348" i="3"/>
  <c r="U348" i="3" s="1"/>
  <c r="A348" i="3"/>
  <c r="U347" i="3"/>
  <c r="T347" i="3"/>
  <c r="S347" i="3"/>
  <c r="P347" i="3"/>
  <c r="O347" i="3"/>
  <c r="M347" i="3"/>
  <c r="L347" i="3"/>
  <c r="K347" i="3"/>
  <c r="J347" i="3"/>
  <c r="Q347" i="3" s="1"/>
  <c r="I347" i="3"/>
  <c r="H347" i="3"/>
  <c r="G347" i="3"/>
  <c r="F347" i="3"/>
  <c r="E347" i="3"/>
  <c r="D347" i="3"/>
  <c r="C347" i="3"/>
  <c r="B347" i="3"/>
  <c r="A347" i="3"/>
  <c r="U346" i="3"/>
  <c r="T346" i="3"/>
  <c r="S346" i="3"/>
  <c r="P346" i="3"/>
  <c r="O346" i="3"/>
  <c r="M346" i="3"/>
  <c r="L346" i="3"/>
  <c r="K346" i="3"/>
  <c r="J346" i="3"/>
  <c r="I346" i="3"/>
  <c r="H346" i="3"/>
  <c r="G346" i="3"/>
  <c r="F346" i="3"/>
  <c r="E346" i="3"/>
  <c r="D346" i="3"/>
  <c r="C346" i="3"/>
  <c r="B346" i="3"/>
  <c r="A346" i="3"/>
  <c r="T345" i="3"/>
  <c r="S345" i="3"/>
  <c r="P345" i="3"/>
  <c r="Q345" i="3" s="1"/>
  <c r="O345" i="3"/>
  <c r="N345" i="3"/>
  <c r="R345" i="3" s="1"/>
  <c r="M345" i="3"/>
  <c r="L345" i="3"/>
  <c r="K345" i="3"/>
  <c r="J345" i="3"/>
  <c r="I345" i="3"/>
  <c r="H345" i="3"/>
  <c r="G345" i="3"/>
  <c r="F345" i="3"/>
  <c r="E345" i="3"/>
  <c r="D345" i="3"/>
  <c r="C345" i="3"/>
  <c r="B345" i="3"/>
  <c r="U345" i="3" s="1"/>
  <c r="A345" i="3"/>
  <c r="T344" i="3"/>
  <c r="S344" i="3"/>
  <c r="Q344" i="3"/>
  <c r="P344" i="3"/>
  <c r="O344" i="3"/>
  <c r="N344" i="3"/>
  <c r="R344" i="3" s="1"/>
  <c r="M344" i="3"/>
  <c r="L344" i="3"/>
  <c r="K344" i="3"/>
  <c r="J344" i="3"/>
  <c r="I344" i="3"/>
  <c r="H344" i="3"/>
  <c r="G344" i="3"/>
  <c r="F344" i="3"/>
  <c r="E344" i="3"/>
  <c r="D344" i="3"/>
  <c r="C344" i="3"/>
  <c r="B344" i="3"/>
  <c r="U344" i="3" s="1"/>
  <c r="A344" i="3"/>
  <c r="T343" i="3"/>
  <c r="S343" i="3"/>
  <c r="P343" i="3"/>
  <c r="O343" i="3"/>
  <c r="M343" i="3"/>
  <c r="L343" i="3"/>
  <c r="K343" i="3"/>
  <c r="J343" i="3"/>
  <c r="I343" i="3"/>
  <c r="H343" i="3"/>
  <c r="G343" i="3"/>
  <c r="F343" i="3"/>
  <c r="E343" i="3"/>
  <c r="D343" i="3"/>
  <c r="C343" i="3"/>
  <c r="B343" i="3"/>
  <c r="U343" i="3" s="1"/>
  <c r="A343" i="3"/>
  <c r="T342" i="3"/>
  <c r="S342" i="3"/>
  <c r="P342" i="3"/>
  <c r="O342" i="3"/>
  <c r="N342" i="3"/>
  <c r="R342" i="3" s="1"/>
  <c r="M342" i="3"/>
  <c r="L342" i="3"/>
  <c r="K342" i="3"/>
  <c r="J342" i="3"/>
  <c r="Q342" i="3" s="1"/>
  <c r="I342" i="3"/>
  <c r="H342" i="3"/>
  <c r="G342" i="3"/>
  <c r="F342" i="3"/>
  <c r="E342" i="3"/>
  <c r="D342" i="3"/>
  <c r="C342" i="3"/>
  <c r="B342" i="3"/>
  <c r="U342" i="3" s="1"/>
  <c r="A342" i="3"/>
  <c r="U341" i="3"/>
  <c r="T341" i="3"/>
  <c r="S341" i="3"/>
  <c r="P341" i="3"/>
  <c r="O341" i="3"/>
  <c r="M341" i="3"/>
  <c r="L341" i="3"/>
  <c r="K341" i="3"/>
  <c r="J341" i="3"/>
  <c r="Q341" i="3" s="1"/>
  <c r="I341" i="3"/>
  <c r="H341" i="3"/>
  <c r="G341" i="3"/>
  <c r="F341" i="3"/>
  <c r="E341" i="3"/>
  <c r="D341" i="3"/>
  <c r="C341" i="3"/>
  <c r="B341" i="3"/>
  <c r="A341" i="3"/>
  <c r="U340" i="3"/>
  <c r="T340" i="3"/>
  <c r="S340" i="3"/>
  <c r="P340" i="3"/>
  <c r="O340" i="3"/>
  <c r="M340" i="3"/>
  <c r="L340" i="3"/>
  <c r="K340" i="3"/>
  <c r="J340" i="3"/>
  <c r="I340" i="3"/>
  <c r="H340" i="3"/>
  <c r="G340" i="3"/>
  <c r="F340" i="3"/>
  <c r="E340" i="3"/>
  <c r="D340" i="3"/>
  <c r="C340" i="3"/>
  <c r="B340" i="3"/>
  <c r="A340" i="3"/>
  <c r="T339" i="3"/>
  <c r="S339" i="3"/>
  <c r="P339" i="3"/>
  <c r="Q339" i="3" s="1"/>
  <c r="O339" i="3"/>
  <c r="N339" i="3"/>
  <c r="R339" i="3" s="1"/>
  <c r="M339" i="3"/>
  <c r="L339" i="3"/>
  <c r="K339" i="3"/>
  <c r="J339" i="3"/>
  <c r="I339" i="3"/>
  <c r="H339" i="3"/>
  <c r="G339" i="3"/>
  <c r="F339" i="3"/>
  <c r="E339" i="3"/>
  <c r="D339" i="3"/>
  <c r="C339" i="3"/>
  <c r="B339" i="3"/>
  <c r="U339" i="3" s="1"/>
  <c r="A339" i="3"/>
  <c r="T338" i="3"/>
  <c r="S338" i="3"/>
  <c r="Q338" i="3"/>
  <c r="P338" i="3"/>
  <c r="O338" i="3"/>
  <c r="M338" i="3"/>
  <c r="L338" i="3"/>
  <c r="N338" i="3" s="1"/>
  <c r="R338" i="3" s="1"/>
  <c r="K338" i="3"/>
  <c r="J338" i="3"/>
  <c r="I338" i="3"/>
  <c r="H338" i="3"/>
  <c r="G338" i="3"/>
  <c r="F338" i="3"/>
  <c r="E338" i="3"/>
  <c r="D338" i="3"/>
  <c r="C338" i="3"/>
  <c r="B338" i="3"/>
  <c r="U338" i="3" s="1"/>
  <c r="A338" i="3"/>
  <c r="T337" i="3"/>
  <c r="S337" i="3"/>
  <c r="P337" i="3"/>
  <c r="O337" i="3"/>
  <c r="M337" i="3"/>
  <c r="L337" i="3"/>
  <c r="K337" i="3"/>
  <c r="J337" i="3"/>
  <c r="I337" i="3"/>
  <c r="H337" i="3"/>
  <c r="G337" i="3"/>
  <c r="F337" i="3"/>
  <c r="E337" i="3"/>
  <c r="D337" i="3"/>
  <c r="C337" i="3"/>
  <c r="B337" i="3"/>
  <c r="U337" i="3" s="1"/>
  <c r="A337" i="3"/>
  <c r="T336" i="3"/>
  <c r="S336" i="3"/>
  <c r="P336" i="3"/>
  <c r="O336" i="3"/>
  <c r="M336" i="3"/>
  <c r="L336" i="3"/>
  <c r="K336" i="3"/>
  <c r="J336" i="3"/>
  <c r="Q336" i="3" s="1"/>
  <c r="I336" i="3"/>
  <c r="H336" i="3"/>
  <c r="G336" i="3"/>
  <c r="F336" i="3"/>
  <c r="E336" i="3"/>
  <c r="D336" i="3"/>
  <c r="C336" i="3"/>
  <c r="B336" i="3"/>
  <c r="U336" i="3" s="1"/>
  <c r="A336" i="3"/>
  <c r="U335" i="3"/>
  <c r="T335" i="3"/>
  <c r="S335" i="3"/>
  <c r="P335" i="3"/>
  <c r="O335" i="3"/>
  <c r="M335" i="3"/>
  <c r="L335" i="3"/>
  <c r="K335" i="3"/>
  <c r="J335" i="3"/>
  <c r="Q335" i="3" s="1"/>
  <c r="I335" i="3"/>
  <c r="H335" i="3"/>
  <c r="G335" i="3"/>
  <c r="F335" i="3"/>
  <c r="E335" i="3"/>
  <c r="D335" i="3"/>
  <c r="C335" i="3"/>
  <c r="B335" i="3"/>
  <c r="A335" i="3"/>
  <c r="U334" i="3"/>
  <c r="T334" i="3"/>
  <c r="S334" i="3"/>
  <c r="P334" i="3"/>
  <c r="O334" i="3"/>
  <c r="M334" i="3"/>
  <c r="L334" i="3"/>
  <c r="K334" i="3"/>
  <c r="J334" i="3"/>
  <c r="I334" i="3"/>
  <c r="H334" i="3"/>
  <c r="G334" i="3"/>
  <c r="F334" i="3"/>
  <c r="E334" i="3"/>
  <c r="D334" i="3"/>
  <c r="C334" i="3"/>
  <c r="B334" i="3"/>
  <c r="A334" i="3"/>
  <c r="T333" i="3"/>
  <c r="S333" i="3"/>
  <c r="P333" i="3"/>
  <c r="Q333" i="3" s="1"/>
  <c r="O333" i="3"/>
  <c r="N333" i="3"/>
  <c r="R333" i="3" s="1"/>
  <c r="M333" i="3"/>
  <c r="L333" i="3"/>
  <c r="K333" i="3"/>
  <c r="J333" i="3"/>
  <c r="I333" i="3"/>
  <c r="H333" i="3"/>
  <c r="G333" i="3"/>
  <c r="F333" i="3"/>
  <c r="E333" i="3"/>
  <c r="D333" i="3"/>
  <c r="C333" i="3"/>
  <c r="B333" i="3"/>
  <c r="U333" i="3" s="1"/>
  <c r="A333" i="3"/>
  <c r="T332" i="3"/>
  <c r="S332" i="3"/>
  <c r="Q332" i="3"/>
  <c r="P332" i="3"/>
  <c r="O332" i="3"/>
  <c r="M332" i="3"/>
  <c r="L332" i="3"/>
  <c r="N332" i="3" s="1"/>
  <c r="K332" i="3"/>
  <c r="J332" i="3"/>
  <c r="I332" i="3"/>
  <c r="H332" i="3"/>
  <c r="G332" i="3"/>
  <c r="F332" i="3"/>
  <c r="E332" i="3"/>
  <c r="D332" i="3"/>
  <c r="C332" i="3"/>
  <c r="B332" i="3"/>
  <c r="U332" i="3" s="1"/>
  <c r="A332" i="3"/>
  <c r="T331" i="3"/>
  <c r="S331" i="3"/>
  <c r="P331" i="3"/>
  <c r="O331" i="3"/>
  <c r="M331" i="3"/>
  <c r="L331" i="3"/>
  <c r="K331" i="3"/>
  <c r="J331" i="3"/>
  <c r="Q331" i="3" s="1"/>
  <c r="I331" i="3"/>
  <c r="H331" i="3"/>
  <c r="G331" i="3"/>
  <c r="F331" i="3"/>
  <c r="E331" i="3"/>
  <c r="D331" i="3"/>
  <c r="C331" i="3"/>
  <c r="B331" i="3"/>
  <c r="U331" i="3" s="1"/>
  <c r="A331" i="3"/>
  <c r="T330" i="3"/>
  <c r="S330" i="3"/>
  <c r="P330" i="3"/>
  <c r="O330" i="3"/>
  <c r="M330" i="3"/>
  <c r="L330" i="3"/>
  <c r="K330" i="3"/>
  <c r="J330" i="3"/>
  <c r="I330" i="3"/>
  <c r="H330" i="3"/>
  <c r="G330" i="3"/>
  <c r="F330" i="3"/>
  <c r="E330" i="3"/>
  <c r="D330" i="3"/>
  <c r="C330" i="3"/>
  <c r="B330" i="3"/>
  <c r="U330" i="3" s="1"/>
  <c r="A330" i="3"/>
  <c r="U329" i="3"/>
  <c r="T329" i="3"/>
  <c r="S329" i="3"/>
  <c r="P329" i="3"/>
  <c r="O329" i="3"/>
  <c r="M329" i="3"/>
  <c r="L329" i="3"/>
  <c r="K329" i="3"/>
  <c r="J329" i="3"/>
  <c r="I329" i="3"/>
  <c r="H329" i="3"/>
  <c r="G329" i="3"/>
  <c r="F329" i="3"/>
  <c r="E329" i="3"/>
  <c r="D329" i="3"/>
  <c r="C329" i="3"/>
  <c r="B329" i="3"/>
  <c r="A329" i="3"/>
  <c r="U328" i="3"/>
  <c r="T328" i="3"/>
  <c r="S328" i="3"/>
  <c r="P328" i="3"/>
  <c r="O328" i="3"/>
  <c r="M328" i="3"/>
  <c r="L328" i="3"/>
  <c r="K328" i="3"/>
  <c r="J328" i="3"/>
  <c r="I328" i="3"/>
  <c r="H328" i="3"/>
  <c r="G328" i="3"/>
  <c r="F328" i="3"/>
  <c r="E328" i="3"/>
  <c r="D328" i="3"/>
  <c r="C328" i="3"/>
  <c r="B328" i="3"/>
  <c r="A328" i="3"/>
  <c r="T327" i="3"/>
  <c r="S327" i="3"/>
  <c r="R327" i="3"/>
  <c r="P327" i="3"/>
  <c r="Q327" i="3" s="1"/>
  <c r="O327" i="3"/>
  <c r="N327" i="3"/>
  <c r="M327" i="3"/>
  <c r="L327" i="3"/>
  <c r="K327" i="3"/>
  <c r="J327" i="3"/>
  <c r="I327" i="3"/>
  <c r="H327" i="3"/>
  <c r="G327" i="3"/>
  <c r="F327" i="3"/>
  <c r="E327" i="3"/>
  <c r="D327" i="3"/>
  <c r="C327" i="3"/>
  <c r="B327" i="3"/>
  <c r="U327" i="3" s="1"/>
  <c r="A327" i="3"/>
  <c r="T326" i="3"/>
  <c r="S326" i="3"/>
  <c r="P326" i="3"/>
  <c r="Q326" i="3" s="1"/>
  <c r="R326" i="3" s="1"/>
  <c r="O326" i="3"/>
  <c r="N326" i="3"/>
  <c r="M326" i="3"/>
  <c r="L326" i="3"/>
  <c r="K326" i="3"/>
  <c r="J326" i="3"/>
  <c r="I326" i="3"/>
  <c r="H326" i="3"/>
  <c r="G326" i="3"/>
  <c r="F326" i="3"/>
  <c r="E326" i="3"/>
  <c r="D326" i="3"/>
  <c r="C326" i="3"/>
  <c r="B326" i="3"/>
  <c r="U326" i="3" s="1"/>
  <c r="A326" i="3"/>
  <c r="T325" i="3"/>
  <c r="S325" i="3"/>
  <c r="P325" i="3"/>
  <c r="O325" i="3"/>
  <c r="M325" i="3"/>
  <c r="L325" i="3"/>
  <c r="K325" i="3"/>
  <c r="J325" i="3"/>
  <c r="Q325" i="3" s="1"/>
  <c r="I325" i="3"/>
  <c r="H325" i="3"/>
  <c r="G325" i="3"/>
  <c r="F325" i="3"/>
  <c r="E325" i="3"/>
  <c r="D325" i="3"/>
  <c r="C325" i="3"/>
  <c r="B325" i="3"/>
  <c r="U325" i="3" s="1"/>
  <c r="A325" i="3"/>
  <c r="T324" i="3"/>
  <c r="S324" i="3"/>
  <c r="P324" i="3"/>
  <c r="O324" i="3"/>
  <c r="M324" i="3"/>
  <c r="L324" i="3"/>
  <c r="K324" i="3"/>
  <c r="J324" i="3"/>
  <c r="I324" i="3"/>
  <c r="H324" i="3"/>
  <c r="G324" i="3"/>
  <c r="F324" i="3"/>
  <c r="E324" i="3"/>
  <c r="D324" i="3"/>
  <c r="C324" i="3"/>
  <c r="B324" i="3"/>
  <c r="U324" i="3" s="1"/>
  <c r="A324" i="3"/>
  <c r="U323" i="3"/>
  <c r="T323" i="3"/>
  <c r="S323" i="3"/>
  <c r="P323" i="3"/>
  <c r="O323" i="3"/>
  <c r="M323" i="3"/>
  <c r="L323" i="3"/>
  <c r="K323" i="3"/>
  <c r="J323" i="3"/>
  <c r="I323" i="3"/>
  <c r="H323" i="3"/>
  <c r="G323" i="3"/>
  <c r="F323" i="3"/>
  <c r="E323" i="3"/>
  <c r="D323" i="3"/>
  <c r="C323" i="3"/>
  <c r="B323" i="3"/>
  <c r="A323" i="3"/>
  <c r="U322" i="3"/>
  <c r="T322" i="3"/>
  <c r="S322" i="3"/>
  <c r="P322" i="3"/>
  <c r="O322" i="3"/>
  <c r="M322" i="3"/>
  <c r="L322" i="3"/>
  <c r="K322" i="3"/>
  <c r="J322" i="3"/>
  <c r="I322" i="3"/>
  <c r="H322" i="3"/>
  <c r="G322" i="3"/>
  <c r="F322" i="3"/>
  <c r="E322" i="3"/>
  <c r="D322" i="3"/>
  <c r="C322" i="3"/>
  <c r="B322" i="3"/>
  <c r="A322" i="3"/>
  <c r="T321" i="3"/>
  <c r="S321" i="3"/>
  <c r="P321" i="3"/>
  <c r="Q321" i="3" s="1"/>
  <c r="R321" i="3" s="1"/>
  <c r="O321" i="3"/>
  <c r="N321" i="3"/>
  <c r="M321" i="3"/>
  <c r="L321" i="3"/>
  <c r="K321" i="3"/>
  <c r="J321" i="3"/>
  <c r="I321" i="3"/>
  <c r="H321" i="3"/>
  <c r="G321" i="3"/>
  <c r="F321" i="3"/>
  <c r="E321" i="3"/>
  <c r="D321" i="3"/>
  <c r="C321" i="3"/>
  <c r="B321" i="3"/>
  <c r="U321" i="3" s="1"/>
  <c r="A321" i="3"/>
  <c r="T320" i="3"/>
  <c r="S320" i="3"/>
  <c r="R320" i="3"/>
  <c r="Q320" i="3"/>
  <c r="P320" i="3"/>
  <c r="O320" i="3"/>
  <c r="N320" i="3"/>
  <c r="M320" i="3"/>
  <c r="L320" i="3"/>
  <c r="K320" i="3"/>
  <c r="J320" i="3"/>
  <c r="I320" i="3"/>
  <c r="H320" i="3"/>
  <c r="G320" i="3"/>
  <c r="F320" i="3"/>
  <c r="E320" i="3"/>
  <c r="D320" i="3"/>
  <c r="C320" i="3"/>
  <c r="B320" i="3"/>
  <c r="U320" i="3" s="1"/>
  <c r="A320" i="3"/>
  <c r="T319" i="3"/>
  <c r="S319" i="3"/>
  <c r="P319" i="3"/>
  <c r="O319" i="3"/>
  <c r="N319" i="3"/>
  <c r="R319" i="3" s="1"/>
  <c r="M319" i="3"/>
  <c r="L319" i="3"/>
  <c r="K319" i="3"/>
  <c r="J319" i="3"/>
  <c r="Q319" i="3" s="1"/>
  <c r="I319" i="3"/>
  <c r="H319" i="3"/>
  <c r="G319" i="3"/>
  <c r="F319" i="3"/>
  <c r="E319" i="3"/>
  <c r="D319" i="3"/>
  <c r="C319" i="3"/>
  <c r="B319" i="3"/>
  <c r="U319" i="3" s="1"/>
  <c r="A319" i="3"/>
  <c r="T318" i="3"/>
  <c r="S318" i="3"/>
  <c r="P318" i="3"/>
  <c r="O318" i="3"/>
  <c r="M318" i="3"/>
  <c r="L318" i="3"/>
  <c r="N318" i="3" s="1"/>
  <c r="R318" i="3" s="1"/>
  <c r="K318" i="3"/>
  <c r="J318" i="3"/>
  <c r="Q318" i="3" s="1"/>
  <c r="I318" i="3"/>
  <c r="H318" i="3"/>
  <c r="G318" i="3"/>
  <c r="F318" i="3"/>
  <c r="E318" i="3"/>
  <c r="D318" i="3"/>
  <c r="C318" i="3"/>
  <c r="B318" i="3"/>
  <c r="U318" i="3" s="1"/>
  <c r="A318" i="3"/>
  <c r="U317" i="3"/>
  <c r="T317" i="3"/>
  <c r="S317" i="3"/>
  <c r="P317" i="3"/>
  <c r="O317" i="3"/>
  <c r="M317" i="3"/>
  <c r="L317" i="3"/>
  <c r="K317" i="3"/>
  <c r="J317" i="3"/>
  <c r="I317" i="3"/>
  <c r="H317" i="3"/>
  <c r="G317" i="3"/>
  <c r="F317" i="3"/>
  <c r="E317" i="3"/>
  <c r="D317" i="3"/>
  <c r="C317" i="3"/>
  <c r="B317" i="3"/>
  <c r="A317" i="3"/>
  <c r="U316" i="3"/>
  <c r="T316" i="3"/>
  <c r="S316" i="3"/>
  <c r="P316" i="3"/>
  <c r="O316" i="3"/>
  <c r="M316" i="3"/>
  <c r="L316" i="3"/>
  <c r="K316" i="3"/>
  <c r="J316" i="3"/>
  <c r="I316" i="3"/>
  <c r="H316" i="3"/>
  <c r="G316" i="3"/>
  <c r="F316" i="3"/>
  <c r="E316" i="3"/>
  <c r="D316" i="3"/>
  <c r="C316" i="3"/>
  <c r="B316" i="3"/>
  <c r="A316" i="3"/>
  <c r="T315" i="3"/>
  <c r="S315" i="3"/>
  <c r="P315" i="3"/>
  <c r="Q315" i="3" s="1"/>
  <c r="R315" i="3" s="1"/>
  <c r="O315" i="3"/>
  <c r="N315" i="3"/>
  <c r="M315" i="3"/>
  <c r="L315" i="3"/>
  <c r="K315" i="3"/>
  <c r="J315" i="3"/>
  <c r="I315" i="3"/>
  <c r="H315" i="3"/>
  <c r="G315" i="3"/>
  <c r="F315" i="3"/>
  <c r="E315" i="3"/>
  <c r="D315" i="3"/>
  <c r="C315" i="3"/>
  <c r="B315" i="3"/>
  <c r="U315" i="3" s="1"/>
  <c r="A315" i="3"/>
  <c r="T314" i="3"/>
  <c r="S314" i="3"/>
  <c r="P314" i="3"/>
  <c r="Q314" i="3" s="1"/>
  <c r="O314" i="3"/>
  <c r="M314" i="3"/>
  <c r="L314" i="3"/>
  <c r="N314" i="3" s="1"/>
  <c r="R314" i="3" s="1"/>
  <c r="K314" i="3"/>
  <c r="J314" i="3"/>
  <c r="I314" i="3"/>
  <c r="H314" i="3"/>
  <c r="G314" i="3"/>
  <c r="F314" i="3"/>
  <c r="E314" i="3"/>
  <c r="D314" i="3"/>
  <c r="C314" i="3"/>
  <c r="B314" i="3"/>
  <c r="U314" i="3" s="1"/>
  <c r="A314" i="3"/>
  <c r="T313" i="3"/>
  <c r="S313" i="3"/>
  <c r="P313" i="3"/>
  <c r="O313" i="3"/>
  <c r="M313" i="3"/>
  <c r="L313" i="3"/>
  <c r="K313" i="3"/>
  <c r="J313" i="3"/>
  <c r="I313" i="3"/>
  <c r="H313" i="3"/>
  <c r="G313" i="3"/>
  <c r="F313" i="3"/>
  <c r="E313" i="3"/>
  <c r="D313" i="3"/>
  <c r="C313" i="3"/>
  <c r="B313" i="3"/>
  <c r="U313" i="3" s="1"/>
  <c r="A313" i="3"/>
  <c r="T312" i="3"/>
  <c r="S312" i="3"/>
  <c r="P312" i="3"/>
  <c r="O312" i="3"/>
  <c r="N312" i="3"/>
  <c r="R312" i="3" s="1"/>
  <c r="M312" i="3"/>
  <c r="L312" i="3"/>
  <c r="K312" i="3"/>
  <c r="J312" i="3"/>
  <c r="Q312" i="3" s="1"/>
  <c r="I312" i="3"/>
  <c r="H312" i="3"/>
  <c r="G312" i="3"/>
  <c r="F312" i="3"/>
  <c r="E312" i="3"/>
  <c r="D312" i="3"/>
  <c r="C312" i="3"/>
  <c r="B312" i="3"/>
  <c r="U312" i="3" s="1"/>
  <c r="A312" i="3"/>
  <c r="U311" i="3"/>
  <c r="T311" i="3"/>
  <c r="S311" i="3"/>
  <c r="P311" i="3"/>
  <c r="O311" i="3"/>
  <c r="M311" i="3"/>
  <c r="L311" i="3"/>
  <c r="K311" i="3"/>
  <c r="J311" i="3"/>
  <c r="I311" i="3"/>
  <c r="H311" i="3"/>
  <c r="G311" i="3"/>
  <c r="F311" i="3"/>
  <c r="E311" i="3"/>
  <c r="D311" i="3"/>
  <c r="C311" i="3"/>
  <c r="B311" i="3"/>
  <c r="A311" i="3"/>
  <c r="U310" i="3"/>
  <c r="T310" i="3"/>
  <c r="S310" i="3"/>
  <c r="P310" i="3"/>
  <c r="O310" i="3"/>
  <c r="M310" i="3"/>
  <c r="L310" i="3"/>
  <c r="K310" i="3"/>
  <c r="J310" i="3"/>
  <c r="I310" i="3"/>
  <c r="H310" i="3"/>
  <c r="G310" i="3"/>
  <c r="F310" i="3"/>
  <c r="E310" i="3"/>
  <c r="D310" i="3"/>
  <c r="C310" i="3"/>
  <c r="B310" i="3"/>
  <c r="A310" i="3"/>
  <c r="T309" i="3"/>
  <c r="S309" i="3"/>
  <c r="P309" i="3"/>
  <c r="Q309" i="3" s="1"/>
  <c r="O309" i="3"/>
  <c r="N309" i="3"/>
  <c r="R309" i="3" s="1"/>
  <c r="M309" i="3"/>
  <c r="L309" i="3"/>
  <c r="K309" i="3"/>
  <c r="J309" i="3"/>
  <c r="I309" i="3"/>
  <c r="H309" i="3"/>
  <c r="G309" i="3"/>
  <c r="F309" i="3"/>
  <c r="E309" i="3"/>
  <c r="D309" i="3"/>
  <c r="C309" i="3"/>
  <c r="B309" i="3"/>
  <c r="U309" i="3" s="1"/>
  <c r="A309" i="3"/>
  <c r="T308" i="3"/>
  <c r="S308" i="3"/>
  <c r="P308" i="3"/>
  <c r="Q308" i="3" s="1"/>
  <c r="O308" i="3"/>
  <c r="M308" i="3"/>
  <c r="L308" i="3"/>
  <c r="N308" i="3" s="1"/>
  <c r="K308" i="3"/>
  <c r="J308" i="3"/>
  <c r="I308" i="3"/>
  <c r="H308" i="3"/>
  <c r="G308" i="3"/>
  <c r="F308" i="3"/>
  <c r="E308" i="3"/>
  <c r="D308" i="3"/>
  <c r="C308" i="3"/>
  <c r="B308" i="3"/>
  <c r="U308" i="3" s="1"/>
  <c r="A308" i="3"/>
  <c r="T307" i="3"/>
  <c r="S307" i="3"/>
  <c r="P307" i="3"/>
  <c r="O307" i="3"/>
  <c r="M307" i="3"/>
  <c r="L307" i="3"/>
  <c r="K307" i="3"/>
  <c r="J307" i="3"/>
  <c r="I307" i="3"/>
  <c r="H307" i="3"/>
  <c r="G307" i="3"/>
  <c r="F307" i="3"/>
  <c r="E307" i="3"/>
  <c r="D307" i="3"/>
  <c r="C307" i="3"/>
  <c r="B307" i="3"/>
  <c r="U307" i="3" s="1"/>
  <c r="A307" i="3"/>
  <c r="T306" i="3"/>
  <c r="S306" i="3"/>
  <c r="P306" i="3"/>
  <c r="O306" i="3"/>
  <c r="N306" i="3"/>
  <c r="R306" i="3" s="1"/>
  <c r="M306" i="3"/>
  <c r="L306" i="3"/>
  <c r="K306" i="3"/>
  <c r="J306" i="3"/>
  <c r="Q306" i="3" s="1"/>
  <c r="I306" i="3"/>
  <c r="H306" i="3"/>
  <c r="G306" i="3"/>
  <c r="F306" i="3"/>
  <c r="E306" i="3"/>
  <c r="D306" i="3"/>
  <c r="C306" i="3"/>
  <c r="B306" i="3"/>
  <c r="U306" i="3" s="1"/>
  <c r="A306" i="3"/>
  <c r="U305" i="3"/>
  <c r="T305" i="3"/>
  <c r="S305" i="3"/>
  <c r="P305" i="3"/>
  <c r="O305" i="3"/>
  <c r="M305" i="3"/>
  <c r="L305" i="3"/>
  <c r="K305" i="3"/>
  <c r="J305" i="3"/>
  <c r="I305" i="3"/>
  <c r="H305" i="3"/>
  <c r="G305" i="3"/>
  <c r="F305" i="3"/>
  <c r="E305" i="3"/>
  <c r="D305" i="3"/>
  <c r="C305" i="3"/>
  <c r="B305" i="3"/>
  <c r="A305" i="3"/>
  <c r="U304" i="3"/>
  <c r="T304" i="3"/>
  <c r="S304" i="3"/>
  <c r="P304" i="3"/>
  <c r="O304" i="3"/>
  <c r="M304" i="3"/>
  <c r="L304" i="3"/>
  <c r="K304" i="3"/>
  <c r="J304" i="3"/>
  <c r="I304" i="3"/>
  <c r="H304" i="3"/>
  <c r="G304" i="3"/>
  <c r="F304" i="3"/>
  <c r="E304" i="3"/>
  <c r="D304" i="3"/>
  <c r="C304" i="3"/>
  <c r="B304" i="3"/>
  <c r="A304" i="3"/>
  <c r="T303" i="3"/>
  <c r="S303" i="3"/>
  <c r="P303" i="3"/>
  <c r="Q303" i="3" s="1"/>
  <c r="O303" i="3"/>
  <c r="N303" i="3"/>
  <c r="R303" i="3" s="1"/>
  <c r="M303" i="3"/>
  <c r="L303" i="3"/>
  <c r="K303" i="3"/>
  <c r="J303" i="3"/>
  <c r="I303" i="3"/>
  <c r="H303" i="3"/>
  <c r="G303" i="3"/>
  <c r="F303" i="3"/>
  <c r="E303" i="3"/>
  <c r="D303" i="3"/>
  <c r="C303" i="3"/>
  <c r="B303" i="3"/>
  <c r="U303" i="3" s="1"/>
  <c r="A303" i="3"/>
  <c r="T302" i="3"/>
  <c r="S302" i="3"/>
  <c r="P302" i="3"/>
  <c r="Q302" i="3" s="1"/>
  <c r="O302" i="3"/>
  <c r="M302" i="3"/>
  <c r="L302" i="3"/>
  <c r="N302" i="3" s="1"/>
  <c r="K302" i="3"/>
  <c r="J302" i="3"/>
  <c r="I302" i="3"/>
  <c r="H302" i="3"/>
  <c r="G302" i="3"/>
  <c r="F302" i="3"/>
  <c r="E302" i="3"/>
  <c r="D302" i="3"/>
  <c r="C302" i="3"/>
  <c r="B302" i="3"/>
  <c r="U302" i="3" s="1"/>
  <c r="A302" i="3"/>
  <c r="T301" i="3"/>
  <c r="S301" i="3"/>
  <c r="P301" i="3"/>
  <c r="O301" i="3"/>
  <c r="M301" i="3"/>
  <c r="L301" i="3"/>
  <c r="K301" i="3"/>
  <c r="J301" i="3"/>
  <c r="I301" i="3"/>
  <c r="H301" i="3"/>
  <c r="G301" i="3"/>
  <c r="F301" i="3"/>
  <c r="E301" i="3"/>
  <c r="D301" i="3"/>
  <c r="C301" i="3"/>
  <c r="B301" i="3"/>
  <c r="U301" i="3" s="1"/>
  <c r="A301" i="3"/>
  <c r="T300" i="3"/>
  <c r="S300" i="3"/>
  <c r="P300" i="3"/>
  <c r="O300" i="3"/>
  <c r="N300" i="3"/>
  <c r="R300" i="3" s="1"/>
  <c r="M300" i="3"/>
  <c r="L300" i="3"/>
  <c r="K300" i="3"/>
  <c r="J300" i="3"/>
  <c r="Q300" i="3" s="1"/>
  <c r="I300" i="3"/>
  <c r="H300" i="3"/>
  <c r="G300" i="3"/>
  <c r="F300" i="3"/>
  <c r="E300" i="3"/>
  <c r="D300" i="3"/>
  <c r="C300" i="3"/>
  <c r="B300" i="3"/>
  <c r="U300" i="3" s="1"/>
  <c r="A300" i="3"/>
  <c r="U299" i="3"/>
  <c r="T299" i="3"/>
  <c r="S299" i="3"/>
  <c r="P299" i="3"/>
  <c r="O299" i="3"/>
  <c r="M299" i="3"/>
  <c r="L299" i="3"/>
  <c r="K299" i="3"/>
  <c r="J299" i="3"/>
  <c r="I299" i="3"/>
  <c r="H299" i="3"/>
  <c r="G299" i="3"/>
  <c r="F299" i="3"/>
  <c r="E299" i="3"/>
  <c r="D299" i="3"/>
  <c r="C299" i="3"/>
  <c r="B299" i="3"/>
  <c r="A299" i="3"/>
  <c r="U298" i="3"/>
  <c r="T298" i="3"/>
  <c r="S298" i="3"/>
  <c r="P298" i="3"/>
  <c r="O298" i="3"/>
  <c r="M298" i="3"/>
  <c r="L298" i="3"/>
  <c r="K298" i="3"/>
  <c r="J298" i="3"/>
  <c r="I298" i="3"/>
  <c r="H298" i="3"/>
  <c r="G298" i="3"/>
  <c r="F298" i="3"/>
  <c r="E298" i="3"/>
  <c r="D298" i="3"/>
  <c r="C298" i="3"/>
  <c r="B298" i="3"/>
  <c r="A298" i="3"/>
  <c r="T297" i="3"/>
  <c r="S297" i="3"/>
  <c r="P297" i="3"/>
  <c r="Q297" i="3" s="1"/>
  <c r="O297" i="3"/>
  <c r="N297" i="3"/>
  <c r="R297" i="3" s="1"/>
  <c r="M297" i="3"/>
  <c r="L297" i="3"/>
  <c r="K297" i="3"/>
  <c r="J297" i="3"/>
  <c r="I297" i="3"/>
  <c r="H297" i="3"/>
  <c r="G297" i="3"/>
  <c r="F297" i="3"/>
  <c r="E297" i="3"/>
  <c r="D297" i="3"/>
  <c r="C297" i="3"/>
  <c r="B297" i="3"/>
  <c r="U297" i="3" s="1"/>
  <c r="A297" i="3"/>
  <c r="T296" i="3"/>
  <c r="S296" i="3"/>
  <c r="P296" i="3"/>
  <c r="Q296" i="3" s="1"/>
  <c r="O296" i="3"/>
  <c r="M296" i="3"/>
  <c r="L296" i="3"/>
  <c r="N296" i="3" s="1"/>
  <c r="K296" i="3"/>
  <c r="J296" i="3"/>
  <c r="I296" i="3"/>
  <c r="H296" i="3"/>
  <c r="G296" i="3"/>
  <c r="F296" i="3"/>
  <c r="E296" i="3"/>
  <c r="D296" i="3"/>
  <c r="C296" i="3"/>
  <c r="B296" i="3"/>
  <c r="U296" i="3" s="1"/>
  <c r="A296" i="3"/>
  <c r="T295" i="3"/>
  <c r="S295" i="3"/>
  <c r="P295" i="3"/>
  <c r="O295" i="3"/>
  <c r="M295" i="3"/>
  <c r="L295" i="3"/>
  <c r="K295" i="3"/>
  <c r="J295" i="3"/>
  <c r="I295" i="3"/>
  <c r="H295" i="3"/>
  <c r="G295" i="3"/>
  <c r="F295" i="3"/>
  <c r="E295" i="3"/>
  <c r="D295" i="3"/>
  <c r="C295" i="3"/>
  <c r="B295" i="3"/>
  <c r="U295" i="3" s="1"/>
  <c r="A295" i="3"/>
  <c r="T294" i="3"/>
  <c r="S294" i="3"/>
  <c r="P294" i="3"/>
  <c r="O294" i="3"/>
  <c r="N294" i="3"/>
  <c r="R294" i="3" s="1"/>
  <c r="M294" i="3"/>
  <c r="L294" i="3"/>
  <c r="K294" i="3"/>
  <c r="J294" i="3"/>
  <c r="Q294" i="3" s="1"/>
  <c r="I294" i="3"/>
  <c r="H294" i="3"/>
  <c r="G294" i="3"/>
  <c r="F294" i="3"/>
  <c r="E294" i="3"/>
  <c r="D294" i="3"/>
  <c r="C294" i="3"/>
  <c r="B294" i="3"/>
  <c r="U294" i="3" s="1"/>
  <c r="A294" i="3"/>
  <c r="U293" i="3"/>
  <c r="T293" i="3"/>
  <c r="S293" i="3"/>
  <c r="P293" i="3"/>
  <c r="O293" i="3"/>
  <c r="M293" i="3"/>
  <c r="L293" i="3"/>
  <c r="K293" i="3"/>
  <c r="J293" i="3"/>
  <c r="I293" i="3"/>
  <c r="H293" i="3"/>
  <c r="G293" i="3"/>
  <c r="F293" i="3"/>
  <c r="E293" i="3"/>
  <c r="D293" i="3"/>
  <c r="C293" i="3"/>
  <c r="B293" i="3"/>
  <c r="A293" i="3"/>
  <c r="U292" i="3"/>
  <c r="T292" i="3"/>
  <c r="S292" i="3"/>
  <c r="P292" i="3"/>
  <c r="Q292" i="3" s="1"/>
  <c r="O292" i="3"/>
  <c r="M292" i="3"/>
  <c r="L292" i="3"/>
  <c r="K292" i="3"/>
  <c r="J292" i="3"/>
  <c r="N292" i="3" s="1"/>
  <c r="R292" i="3" s="1"/>
  <c r="I292" i="3"/>
  <c r="H292" i="3"/>
  <c r="G292" i="3"/>
  <c r="F292" i="3"/>
  <c r="E292" i="3"/>
  <c r="D292" i="3"/>
  <c r="C292" i="3"/>
  <c r="B292" i="3"/>
  <c r="A292" i="3"/>
  <c r="T291" i="3"/>
  <c r="S291" i="3"/>
  <c r="P291" i="3"/>
  <c r="O291" i="3"/>
  <c r="M291" i="3"/>
  <c r="L291" i="3"/>
  <c r="K291" i="3"/>
  <c r="J291" i="3"/>
  <c r="N291" i="3" s="1"/>
  <c r="I291" i="3"/>
  <c r="H291" i="3"/>
  <c r="G291" i="3"/>
  <c r="F291" i="3"/>
  <c r="E291" i="3"/>
  <c r="D291" i="3"/>
  <c r="C291" i="3"/>
  <c r="B291" i="3"/>
  <c r="U291" i="3" s="1"/>
  <c r="A291" i="3"/>
  <c r="T290" i="3"/>
  <c r="S290" i="3"/>
  <c r="Q290" i="3"/>
  <c r="R290" i="3" s="1"/>
  <c r="P290" i="3"/>
  <c r="O290" i="3"/>
  <c r="N290" i="3"/>
  <c r="M290" i="3"/>
  <c r="L290" i="3"/>
  <c r="K290" i="3"/>
  <c r="J290" i="3"/>
  <c r="I290" i="3"/>
  <c r="H290" i="3"/>
  <c r="G290" i="3"/>
  <c r="F290" i="3"/>
  <c r="E290" i="3"/>
  <c r="D290" i="3"/>
  <c r="C290" i="3"/>
  <c r="B290" i="3"/>
  <c r="U290" i="3" s="1"/>
  <c r="A290" i="3"/>
  <c r="T289" i="3"/>
  <c r="S289" i="3"/>
  <c r="P289" i="3"/>
  <c r="O289" i="3"/>
  <c r="N289" i="3"/>
  <c r="R289" i="3" s="1"/>
  <c r="M289" i="3"/>
  <c r="L289" i="3"/>
  <c r="K289" i="3"/>
  <c r="J289" i="3"/>
  <c r="Q289" i="3" s="1"/>
  <c r="I289" i="3"/>
  <c r="H289" i="3"/>
  <c r="G289" i="3"/>
  <c r="F289" i="3"/>
  <c r="E289" i="3"/>
  <c r="D289" i="3"/>
  <c r="C289" i="3"/>
  <c r="B289" i="3"/>
  <c r="U289" i="3" s="1"/>
  <c r="A289" i="3"/>
  <c r="U288" i="3"/>
  <c r="T288" i="3"/>
  <c r="S288" i="3"/>
  <c r="P288" i="3"/>
  <c r="O288" i="3"/>
  <c r="M288" i="3"/>
  <c r="L288" i="3"/>
  <c r="K288" i="3"/>
  <c r="J288" i="3"/>
  <c r="I288" i="3"/>
  <c r="H288" i="3"/>
  <c r="G288" i="3"/>
  <c r="F288" i="3"/>
  <c r="E288" i="3"/>
  <c r="D288" i="3"/>
  <c r="C288" i="3"/>
  <c r="B288" i="3"/>
  <c r="A288" i="3"/>
  <c r="U287" i="3"/>
  <c r="T287" i="3"/>
  <c r="S287" i="3"/>
  <c r="P287" i="3"/>
  <c r="O287" i="3"/>
  <c r="M287" i="3"/>
  <c r="L287" i="3"/>
  <c r="K287" i="3"/>
  <c r="N287" i="3" s="1"/>
  <c r="J287" i="3"/>
  <c r="I287" i="3"/>
  <c r="H287" i="3"/>
  <c r="G287" i="3"/>
  <c r="F287" i="3"/>
  <c r="E287" i="3"/>
  <c r="D287" i="3"/>
  <c r="C287" i="3"/>
  <c r="B287" i="3"/>
  <c r="A287" i="3"/>
  <c r="T286" i="3"/>
  <c r="S286" i="3"/>
  <c r="R286" i="3"/>
  <c r="Q286" i="3"/>
  <c r="P286" i="3"/>
  <c r="O286" i="3"/>
  <c r="N286" i="3"/>
  <c r="M286" i="3"/>
  <c r="L286" i="3"/>
  <c r="K286" i="3"/>
  <c r="J286" i="3"/>
  <c r="I286" i="3"/>
  <c r="H286" i="3"/>
  <c r="G286" i="3"/>
  <c r="F286" i="3"/>
  <c r="E286" i="3"/>
  <c r="D286" i="3"/>
  <c r="C286" i="3"/>
  <c r="B286" i="3"/>
  <c r="U286" i="3" s="1"/>
  <c r="A286" i="3"/>
  <c r="T285" i="3"/>
  <c r="S285" i="3"/>
  <c r="P285" i="3"/>
  <c r="O285" i="3"/>
  <c r="N285" i="3"/>
  <c r="M285" i="3"/>
  <c r="L285" i="3"/>
  <c r="K285" i="3"/>
  <c r="J285" i="3"/>
  <c r="I285" i="3"/>
  <c r="H285" i="3"/>
  <c r="G285" i="3"/>
  <c r="F285" i="3"/>
  <c r="E285" i="3"/>
  <c r="D285" i="3"/>
  <c r="C285" i="3"/>
  <c r="B285" i="3"/>
  <c r="U285" i="3" s="1"/>
  <c r="A285" i="3"/>
  <c r="T284" i="3"/>
  <c r="S284" i="3"/>
  <c r="P284" i="3"/>
  <c r="Q284" i="3" s="1"/>
  <c r="O284" i="3"/>
  <c r="M284" i="3"/>
  <c r="L284" i="3"/>
  <c r="K284" i="3"/>
  <c r="J284" i="3"/>
  <c r="N284" i="3" s="1"/>
  <c r="I284" i="3"/>
  <c r="H284" i="3"/>
  <c r="G284" i="3"/>
  <c r="F284" i="3"/>
  <c r="E284" i="3"/>
  <c r="D284" i="3"/>
  <c r="C284" i="3"/>
  <c r="B284" i="3"/>
  <c r="U284" i="3" s="1"/>
  <c r="A284" i="3"/>
  <c r="T283" i="3"/>
  <c r="S283" i="3"/>
  <c r="P283" i="3"/>
  <c r="Q283" i="3" s="1"/>
  <c r="O283" i="3"/>
  <c r="M283" i="3"/>
  <c r="L283" i="3"/>
  <c r="K283" i="3"/>
  <c r="J283" i="3"/>
  <c r="N283" i="3" s="1"/>
  <c r="I283" i="3"/>
  <c r="H283" i="3"/>
  <c r="G283" i="3"/>
  <c r="F283" i="3"/>
  <c r="E283" i="3"/>
  <c r="D283" i="3"/>
  <c r="C283" i="3"/>
  <c r="B283" i="3"/>
  <c r="U283" i="3" s="1"/>
  <c r="A283" i="3"/>
  <c r="T282" i="3"/>
  <c r="S282" i="3"/>
  <c r="R282" i="3"/>
  <c r="P282" i="3"/>
  <c r="O282" i="3"/>
  <c r="N282" i="3"/>
  <c r="M282" i="3"/>
  <c r="L282" i="3"/>
  <c r="K282" i="3"/>
  <c r="J282" i="3"/>
  <c r="Q282" i="3" s="1"/>
  <c r="I282" i="3"/>
  <c r="H282" i="3"/>
  <c r="G282" i="3"/>
  <c r="F282" i="3"/>
  <c r="E282" i="3"/>
  <c r="D282" i="3"/>
  <c r="C282" i="3"/>
  <c r="B282" i="3"/>
  <c r="U282" i="3" s="1"/>
  <c r="A282" i="3"/>
  <c r="T281" i="3"/>
  <c r="S281" i="3"/>
  <c r="P281" i="3"/>
  <c r="O281" i="3"/>
  <c r="M281" i="3"/>
  <c r="L281" i="3"/>
  <c r="K281" i="3"/>
  <c r="J281" i="3"/>
  <c r="N281" i="3" s="1"/>
  <c r="I281" i="3"/>
  <c r="H281" i="3"/>
  <c r="G281" i="3"/>
  <c r="F281" i="3"/>
  <c r="E281" i="3"/>
  <c r="D281" i="3"/>
  <c r="C281" i="3"/>
  <c r="B281" i="3"/>
  <c r="U281" i="3" s="1"/>
  <c r="A281" i="3"/>
  <c r="T280" i="3"/>
  <c r="S280" i="3"/>
  <c r="P280" i="3"/>
  <c r="O280" i="3"/>
  <c r="M280" i="3"/>
  <c r="L280" i="3"/>
  <c r="N280" i="3" s="1"/>
  <c r="R280" i="3" s="1"/>
  <c r="K280" i="3"/>
  <c r="J280" i="3"/>
  <c r="Q280" i="3" s="1"/>
  <c r="I280" i="3"/>
  <c r="H280" i="3"/>
  <c r="G280" i="3"/>
  <c r="F280" i="3"/>
  <c r="E280" i="3"/>
  <c r="D280" i="3"/>
  <c r="C280" i="3"/>
  <c r="B280" i="3"/>
  <c r="U280" i="3" s="1"/>
  <c r="A280" i="3"/>
  <c r="T279" i="3"/>
  <c r="S279" i="3"/>
  <c r="P279" i="3"/>
  <c r="O279" i="3"/>
  <c r="M279" i="3"/>
  <c r="L279" i="3"/>
  <c r="K279" i="3"/>
  <c r="J279" i="3"/>
  <c r="I279" i="3"/>
  <c r="H279" i="3"/>
  <c r="G279" i="3"/>
  <c r="F279" i="3"/>
  <c r="E279" i="3"/>
  <c r="D279" i="3"/>
  <c r="C279" i="3"/>
  <c r="B279" i="3"/>
  <c r="U279" i="3" s="1"/>
  <c r="A279" i="3"/>
  <c r="T278" i="3"/>
  <c r="S278" i="3"/>
  <c r="Q278" i="3"/>
  <c r="P278" i="3"/>
  <c r="O278" i="3"/>
  <c r="M278" i="3"/>
  <c r="L278" i="3"/>
  <c r="N278" i="3" s="1"/>
  <c r="K278" i="3"/>
  <c r="J278" i="3"/>
  <c r="I278" i="3"/>
  <c r="H278" i="3"/>
  <c r="G278" i="3"/>
  <c r="F278" i="3"/>
  <c r="E278" i="3"/>
  <c r="D278" i="3"/>
  <c r="C278" i="3"/>
  <c r="B278" i="3"/>
  <c r="U278" i="3" s="1"/>
  <c r="A278" i="3"/>
  <c r="T277" i="3"/>
  <c r="S277" i="3"/>
  <c r="Q277" i="3"/>
  <c r="P277" i="3"/>
  <c r="O277" i="3"/>
  <c r="N277" i="3"/>
  <c r="R277" i="3" s="1"/>
  <c r="M277" i="3"/>
  <c r="L277" i="3"/>
  <c r="K277" i="3"/>
  <c r="J277" i="3"/>
  <c r="I277" i="3"/>
  <c r="H277" i="3"/>
  <c r="G277" i="3"/>
  <c r="F277" i="3"/>
  <c r="E277" i="3"/>
  <c r="D277" i="3"/>
  <c r="C277" i="3"/>
  <c r="B277" i="3"/>
  <c r="U277" i="3" s="1"/>
  <c r="A277" i="3"/>
  <c r="T276" i="3"/>
  <c r="S276" i="3"/>
  <c r="P276" i="3"/>
  <c r="O276" i="3"/>
  <c r="N276" i="3"/>
  <c r="R276" i="3" s="1"/>
  <c r="M276" i="3"/>
  <c r="L276" i="3"/>
  <c r="K276" i="3"/>
  <c r="J276" i="3"/>
  <c r="Q276" i="3" s="1"/>
  <c r="I276" i="3"/>
  <c r="H276" i="3"/>
  <c r="G276" i="3"/>
  <c r="F276" i="3"/>
  <c r="E276" i="3"/>
  <c r="D276" i="3"/>
  <c r="C276" i="3"/>
  <c r="B276" i="3"/>
  <c r="U276" i="3" s="1"/>
  <c r="A276" i="3"/>
  <c r="U275" i="3"/>
  <c r="T275" i="3"/>
  <c r="S275" i="3"/>
  <c r="P275" i="3"/>
  <c r="O275" i="3"/>
  <c r="M275" i="3"/>
  <c r="L275" i="3"/>
  <c r="K275" i="3"/>
  <c r="J275" i="3"/>
  <c r="I275" i="3"/>
  <c r="H275" i="3"/>
  <c r="G275" i="3"/>
  <c r="F275" i="3"/>
  <c r="E275" i="3"/>
  <c r="D275" i="3"/>
  <c r="C275" i="3"/>
  <c r="B275" i="3"/>
  <c r="A275" i="3"/>
  <c r="U274" i="3"/>
  <c r="T274" i="3"/>
  <c r="S274" i="3"/>
  <c r="P274" i="3"/>
  <c r="O274" i="3"/>
  <c r="M274" i="3"/>
  <c r="L274" i="3"/>
  <c r="K274" i="3"/>
  <c r="J274" i="3"/>
  <c r="I274" i="3"/>
  <c r="H274" i="3"/>
  <c r="G274" i="3"/>
  <c r="F274" i="3"/>
  <c r="E274" i="3"/>
  <c r="D274" i="3"/>
  <c r="C274" i="3"/>
  <c r="B274" i="3"/>
  <c r="A274" i="3"/>
  <c r="T273" i="3"/>
  <c r="S273" i="3"/>
  <c r="P273" i="3"/>
  <c r="O273" i="3"/>
  <c r="N273" i="3"/>
  <c r="M273" i="3"/>
  <c r="L273" i="3"/>
  <c r="K273" i="3"/>
  <c r="J273" i="3"/>
  <c r="I273" i="3"/>
  <c r="H273" i="3"/>
  <c r="G273" i="3"/>
  <c r="F273" i="3"/>
  <c r="E273" i="3"/>
  <c r="D273" i="3"/>
  <c r="C273" i="3"/>
  <c r="B273" i="3"/>
  <c r="U273" i="3" s="1"/>
  <c r="A273" i="3"/>
  <c r="T272" i="3"/>
  <c r="S272" i="3"/>
  <c r="P272" i="3"/>
  <c r="Q272" i="3" s="1"/>
  <c r="O272" i="3"/>
  <c r="M272" i="3"/>
  <c r="L272" i="3"/>
  <c r="N272" i="3" s="1"/>
  <c r="K272" i="3"/>
  <c r="J272" i="3"/>
  <c r="I272" i="3"/>
  <c r="H272" i="3"/>
  <c r="G272" i="3"/>
  <c r="F272" i="3"/>
  <c r="E272" i="3"/>
  <c r="D272" i="3"/>
  <c r="C272" i="3"/>
  <c r="B272" i="3"/>
  <c r="U272" i="3" s="1"/>
  <c r="A272" i="3"/>
  <c r="T271" i="3"/>
  <c r="S271" i="3"/>
  <c r="P271" i="3"/>
  <c r="O271" i="3"/>
  <c r="M271" i="3"/>
  <c r="L271" i="3"/>
  <c r="K271" i="3"/>
  <c r="J271" i="3"/>
  <c r="Q271" i="3" s="1"/>
  <c r="I271" i="3"/>
  <c r="H271" i="3"/>
  <c r="G271" i="3"/>
  <c r="F271" i="3"/>
  <c r="E271" i="3"/>
  <c r="D271" i="3"/>
  <c r="C271" i="3"/>
  <c r="B271" i="3"/>
  <c r="U271" i="3" s="1"/>
  <c r="A271" i="3"/>
  <c r="T270" i="3"/>
  <c r="S270" i="3"/>
  <c r="P270" i="3"/>
  <c r="O270" i="3"/>
  <c r="M270" i="3"/>
  <c r="L270" i="3"/>
  <c r="K270" i="3"/>
  <c r="J270" i="3"/>
  <c r="I270" i="3"/>
  <c r="H270" i="3"/>
  <c r="G270" i="3"/>
  <c r="F270" i="3"/>
  <c r="E270" i="3"/>
  <c r="D270" i="3"/>
  <c r="C270" i="3"/>
  <c r="B270" i="3"/>
  <c r="U270" i="3" s="1"/>
  <c r="A270" i="3"/>
  <c r="U269" i="3"/>
  <c r="T269" i="3"/>
  <c r="S269" i="3"/>
  <c r="P269" i="3"/>
  <c r="O269" i="3"/>
  <c r="N269" i="3"/>
  <c r="M269" i="3"/>
  <c r="L269" i="3"/>
  <c r="K269" i="3"/>
  <c r="J269" i="3"/>
  <c r="I269" i="3"/>
  <c r="H269" i="3"/>
  <c r="G269" i="3"/>
  <c r="F269" i="3"/>
  <c r="E269" i="3"/>
  <c r="D269" i="3"/>
  <c r="C269" i="3"/>
  <c r="B269" i="3"/>
  <c r="A269" i="3"/>
  <c r="T268" i="3"/>
  <c r="S268" i="3"/>
  <c r="P268" i="3"/>
  <c r="Q268" i="3" s="1"/>
  <c r="O268" i="3"/>
  <c r="N268" i="3"/>
  <c r="M268" i="3"/>
  <c r="L268" i="3"/>
  <c r="K268" i="3"/>
  <c r="J268" i="3"/>
  <c r="I268" i="3"/>
  <c r="H268" i="3"/>
  <c r="G268" i="3"/>
  <c r="F268" i="3"/>
  <c r="E268" i="3"/>
  <c r="D268" i="3"/>
  <c r="C268" i="3"/>
  <c r="B268" i="3"/>
  <c r="U268" i="3" s="1"/>
  <c r="A268" i="3"/>
  <c r="T267" i="3"/>
  <c r="S267" i="3"/>
  <c r="P267" i="3"/>
  <c r="O267" i="3"/>
  <c r="M267" i="3"/>
  <c r="L267" i="3"/>
  <c r="N267" i="3" s="1"/>
  <c r="R267" i="3" s="1"/>
  <c r="K267" i="3"/>
  <c r="J267" i="3"/>
  <c r="Q267" i="3" s="1"/>
  <c r="I267" i="3"/>
  <c r="H267" i="3"/>
  <c r="G267" i="3"/>
  <c r="F267" i="3"/>
  <c r="E267" i="3"/>
  <c r="D267" i="3"/>
  <c r="C267" i="3"/>
  <c r="B267" i="3"/>
  <c r="U267" i="3" s="1"/>
  <c r="A267" i="3"/>
  <c r="T266" i="3"/>
  <c r="S266" i="3"/>
  <c r="P266" i="3"/>
  <c r="Q266" i="3" s="1"/>
  <c r="O266" i="3"/>
  <c r="M266" i="3"/>
  <c r="L266" i="3"/>
  <c r="K266" i="3"/>
  <c r="J266" i="3"/>
  <c r="I266" i="3"/>
  <c r="H266" i="3"/>
  <c r="G266" i="3"/>
  <c r="F266" i="3"/>
  <c r="E266" i="3"/>
  <c r="D266" i="3"/>
  <c r="C266" i="3"/>
  <c r="B266" i="3"/>
  <c r="U266" i="3" s="1"/>
  <c r="A266" i="3"/>
  <c r="T265" i="3"/>
  <c r="S265" i="3"/>
  <c r="R265" i="3"/>
  <c r="P265" i="3"/>
  <c r="Q265" i="3" s="1"/>
  <c r="O265" i="3"/>
  <c r="M265" i="3"/>
  <c r="L265" i="3"/>
  <c r="K265" i="3"/>
  <c r="J265" i="3"/>
  <c r="N265" i="3" s="1"/>
  <c r="I265" i="3"/>
  <c r="H265" i="3"/>
  <c r="G265" i="3"/>
  <c r="F265" i="3"/>
  <c r="E265" i="3"/>
  <c r="D265" i="3"/>
  <c r="C265" i="3"/>
  <c r="B265" i="3"/>
  <c r="U265" i="3" s="1"/>
  <c r="A265" i="3"/>
  <c r="T264" i="3"/>
  <c r="S264" i="3"/>
  <c r="R264" i="3"/>
  <c r="P264" i="3"/>
  <c r="O264" i="3"/>
  <c r="N264" i="3"/>
  <c r="M264" i="3"/>
  <c r="L264" i="3"/>
  <c r="K264" i="3"/>
  <c r="J264" i="3"/>
  <c r="Q264" i="3" s="1"/>
  <c r="I264" i="3"/>
  <c r="H264" i="3"/>
  <c r="G264" i="3"/>
  <c r="F264" i="3"/>
  <c r="E264" i="3"/>
  <c r="D264" i="3"/>
  <c r="C264" i="3"/>
  <c r="B264" i="3"/>
  <c r="U264" i="3" s="1"/>
  <c r="A264" i="3"/>
  <c r="T263" i="3"/>
  <c r="S263" i="3"/>
  <c r="P263" i="3"/>
  <c r="O263" i="3"/>
  <c r="M263" i="3"/>
  <c r="L263" i="3"/>
  <c r="K263" i="3"/>
  <c r="J263" i="3"/>
  <c r="I263" i="3"/>
  <c r="H263" i="3"/>
  <c r="G263" i="3"/>
  <c r="F263" i="3"/>
  <c r="E263" i="3"/>
  <c r="D263" i="3"/>
  <c r="C263" i="3"/>
  <c r="B263" i="3"/>
  <c r="U263" i="3" s="1"/>
  <c r="A263" i="3"/>
  <c r="U262" i="3"/>
  <c r="T262" i="3"/>
  <c r="S262" i="3"/>
  <c r="P262" i="3"/>
  <c r="O262" i="3"/>
  <c r="M262" i="3"/>
  <c r="L262" i="3"/>
  <c r="K262" i="3"/>
  <c r="J262" i="3"/>
  <c r="Q262" i="3" s="1"/>
  <c r="I262" i="3"/>
  <c r="H262" i="3"/>
  <c r="G262" i="3"/>
  <c r="F262" i="3"/>
  <c r="E262" i="3"/>
  <c r="D262" i="3"/>
  <c r="C262" i="3"/>
  <c r="B262" i="3"/>
  <c r="A262" i="3"/>
  <c r="T261" i="3"/>
  <c r="S261" i="3"/>
  <c r="P261" i="3"/>
  <c r="O261" i="3"/>
  <c r="M261" i="3"/>
  <c r="L261" i="3"/>
  <c r="K261" i="3"/>
  <c r="J261" i="3"/>
  <c r="I261" i="3"/>
  <c r="H261" i="3"/>
  <c r="G261" i="3"/>
  <c r="F261" i="3"/>
  <c r="E261" i="3"/>
  <c r="D261" i="3"/>
  <c r="C261" i="3"/>
  <c r="B261" i="3"/>
  <c r="U261" i="3" s="1"/>
  <c r="A261" i="3"/>
  <c r="T260" i="3"/>
  <c r="S260" i="3"/>
  <c r="P260" i="3"/>
  <c r="Q260" i="3" s="1"/>
  <c r="O260" i="3"/>
  <c r="N260" i="3"/>
  <c r="M260" i="3"/>
  <c r="L260" i="3"/>
  <c r="K260" i="3"/>
  <c r="J260" i="3"/>
  <c r="I260" i="3"/>
  <c r="H260" i="3"/>
  <c r="G260" i="3"/>
  <c r="F260" i="3"/>
  <c r="E260" i="3"/>
  <c r="D260" i="3"/>
  <c r="C260" i="3"/>
  <c r="B260" i="3"/>
  <c r="U260" i="3" s="1"/>
  <c r="A260" i="3"/>
  <c r="T259" i="3"/>
  <c r="S259" i="3"/>
  <c r="P259" i="3"/>
  <c r="Q259" i="3" s="1"/>
  <c r="O259" i="3"/>
  <c r="M259" i="3"/>
  <c r="L259" i="3"/>
  <c r="N259" i="3" s="1"/>
  <c r="R259" i="3" s="1"/>
  <c r="K259" i="3"/>
  <c r="J259" i="3"/>
  <c r="I259" i="3"/>
  <c r="H259" i="3"/>
  <c r="G259" i="3"/>
  <c r="F259" i="3"/>
  <c r="E259" i="3"/>
  <c r="D259" i="3"/>
  <c r="C259" i="3"/>
  <c r="B259" i="3"/>
  <c r="U259" i="3" s="1"/>
  <c r="A259" i="3"/>
  <c r="T258" i="3"/>
  <c r="S258" i="3"/>
  <c r="P258" i="3"/>
  <c r="O258" i="3"/>
  <c r="M258" i="3"/>
  <c r="L258" i="3"/>
  <c r="K258" i="3"/>
  <c r="N258" i="3" s="1"/>
  <c r="R258" i="3" s="1"/>
  <c r="J258" i="3"/>
  <c r="Q258" i="3" s="1"/>
  <c r="I258" i="3"/>
  <c r="H258" i="3"/>
  <c r="G258" i="3"/>
  <c r="F258" i="3"/>
  <c r="E258" i="3"/>
  <c r="D258" i="3"/>
  <c r="C258" i="3"/>
  <c r="B258" i="3"/>
  <c r="U258" i="3" s="1"/>
  <c r="A258" i="3"/>
  <c r="U257" i="3"/>
  <c r="T257" i="3"/>
  <c r="S257" i="3"/>
  <c r="P257" i="3"/>
  <c r="O257" i="3"/>
  <c r="M257" i="3"/>
  <c r="L257" i="3"/>
  <c r="K257" i="3"/>
  <c r="J257" i="3"/>
  <c r="I257" i="3"/>
  <c r="H257" i="3"/>
  <c r="G257" i="3"/>
  <c r="F257" i="3"/>
  <c r="E257" i="3"/>
  <c r="D257" i="3"/>
  <c r="C257" i="3"/>
  <c r="B257" i="3"/>
  <c r="A257" i="3"/>
  <c r="U256" i="3"/>
  <c r="T256" i="3"/>
  <c r="S256" i="3"/>
  <c r="P256" i="3"/>
  <c r="O256" i="3"/>
  <c r="M256" i="3"/>
  <c r="L256" i="3"/>
  <c r="K256" i="3"/>
  <c r="J256" i="3"/>
  <c r="N256" i="3" s="1"/>
  <c r="I256" i="3"/>
  <c r="H256" i="3"/>
  <c r="G256" i="3"/>
  <c r="F256" i="3"/>
  <c r="E256" i="3"/>
  <c r="D256" i="3"/>
  <c r="C256" i="3"/>
  <c r="B256" i="3"/>
  <c r="A256" i="3"/>
  <c r="T255" i="3"/>
  <c r="S255" i="3"/>
  <c r="P255" i="3"/>
  <c r="O255" i="3"/>
  <c r="N255" i="3"/>
  <c r="R255" i="3" s="1"/>
  <c r="M255" i="3"/>
  <c r="L255" i="3"/>
  <c r="K255" i="3"/>
  <c r="J255" i="3"/>
  <c r="Q255" i="3" s="1"/>
  <c r="I255" i="3"/>
  <c r="H255" i="3"/>
  <c r="G255" i="3"/>
  <c r="F255" i="3"/>
  <c r="E255" i="3"/>
  <c r="D255" i="3"/>
  <c r="C255" i="3"/>
  <c r="B255" i="3"/>
  <c r="U255" i="3" s="1"/>
  <c r="A255" i="3"/>
  <c r="T254" i="3"/>
  <c r="S254" i="3"/>
  <c r="P254" i="3"/>
  <c r="Q254" i="3" s="1"/>
  <c r="O254" i="3"/>
  <c r="M254" i="3"/>
  <c r="L254" i="3"/>
  <c r="K254" i="3"/>
  <c r="J254" i="3"/>
  <c r="I254" i="3"/>
  <c r="H254" i="3"/>
  <c r="G254" i="3"/>
  <c r="F254" i="3"/>
  <c r="E254" i="3"/>
  <c r="D254" i="3"/>
  <c r="C254" i="3"/>
  <c r="B254" i="3"/>
  <c r="U254" i="3" s="1"/>
  <c r="A254" i="3"/>
  <c r="T253" i="3"/>
  <c r="S253" i="3"/>
  <c r="P253" i="3"/>
  <c r="O253" i="3"/>
  <c r="M253" i="3"/>
  <c r="L253" i="3"/>
  <c r="K253" i="3"/>
  <c r="J253" i="3"/>
  <c r="Q253" i="3" s="1"/>
  <c r="I253" i="3"/>
  <c r="H253" i="3"/>
  <c r="G253" i="3"/>
  <c r="F253" i="3"/>
  <c r="E253" i="3"/>
  <c r="D253" i="3"/>
  <c r="C253" i="3"/>
  <c r="B253" i="3"/>
  <c r="U253" i="3" s="1"/>
  <c r="A253" i="3"/>
  <c r="T252" i="3"/>
  <c r="S252" i="3"/>
  <c r="P252" i="3"/>
  <c r="O252" i="3"/>
  <c r="M252" i="3"/>
  <c r="L252" i="3"/>
  <c r="K252" i="3"/>
  <c r="J252" i="3"/>
  <c r="I252" i="3"/>
  <c r="H252" i="3"/>
  <c r="G252" i="3"/>
  <c r="F252" i="3"/>
  <c r="E252" i="3"/>
  <c r="D252" i="3"/>
  <c r="C252" i="3"/>
  <c r="B252" i="3"/>
  <c r="U252" i="3" s="1"/>
  <c r="A252" i="3"/>
  <c r="U251" i="3"/>
  <c r="T251" i="3"/>
  <c r="S251" i="3"/>
  <c r="P251" i="3"/>
  <c r="O251" i="3"/>
  <c r="N251" i="3"/>
  <c r="M251" i="3"/>
  <c r="L251" i="3"/>
  <c r="K251" i="3"/>
  <c r="J251" i="3"/>
  <c r="I251" i="3"/>
  <c r="H251" i="3"/>
  <c r="G251" i="3"/>
  <c r="F251" i="3"/>
  <c r="E251" i="3"/>
  <c r="D251" i="3"/>
  <c r="C251" i="3"/>
  <c r="B251" i="3"/>
  <c r="A251" i="3"/>
  <c r="T250" i="3"/>
  <c r="S250" i="3"/>
  <c r="P250" i="3"/>
  <c r="Q250" i="3" s="1"/>
  <c r="O250" i="3"/>
  <c r="M250" i="3"/>
  <c r="L250" i="3"/>
  <c r="N250" i="3" s="1"/>
  <c r="R250" i="3" s="1"/>
  <c r="K250" i="3"/>
  <c r="J250" i="3"/>
  <c r="I250" i="3"/>
  <c r="H250" i="3"/>
  <c r="G250" i="3"/>
  <c r="F250" i="3"/>
  <c r="E250" i="3"/>
  <c r="D250" i="3"/>
  <c r="C250" i="3"/>
  <c r="B250" i="3"/>
  <c r="U250" i="3" s="1"/>
  <c r="A250" i="3"/>
  <c r="T249" i="3"/>
  <c r="S249" i="3"/>
  <c r="P249" i="3"/>
  <c r="O249" i="3"/>
  <c r="M249" i="3"/>
  <c r="L249" i="3"/>
  <c r="K249" i="3"/>
  <c r="J249" i="3"/>
  <c r="I249" i="3"/>
  <c r="H249" i="3"/>
  <c r="G249" i="3"/>
  <c r="F249" i="3"/>
  <c r="E249" i="3"/>
  <c r="D249" i="3"/>
  <c r="C249" i="3"/>
  <c r="B249" i="3"/>
  <c r="U249" i="3" s="1"/>
  <c r="A249" i="3"/>
  <c r="T248" i="3"/>
  <c r="S248" i="3"/>
  <c r="O248" i="3"/>
  <c r="M248" i="3"/>
  <c r="L248" i="3"/>
  <c r="K248" i="3"/>
  <c r="J248" i="3"/>
  <c r="I248" i="3"/>
  <c r="H248" i="3"/>
  <c r="G248" i="3"/>
  <c r="P248" i="3" s="1"/>
  <c r="Q248" i="3" s="1"/>
  <c r="F248" i="3"/>
  <c r="E248" i="3"/>
  <c r="D248" i="3"/>
  <c r="C248" i="3"/>
  <c r="B248" i="3"/>
  <c r="U248" i="3" s="1"/>
  <c r="A248" i="3"/>
  <c r="T247" i="3"/>
  <c r="S247" i="3"/>
  <c r="P247" i="3"/>
  <c r="Q247" i="3" s="1"/>
  <c r="R247" i="3" s="1"/>
  <c r="O247" i="3"/>
  <c r="M247" i="3"/>
  <c r="L247" i="3"/>
  <c r="K247" i="3"/>
  <c r="J247" i="3"/>
  <c r="N247" i="3" s="1"/>
  <c r="I247" i="3"/>
  <c r="H247" i="3"/>
  <c r="G247" i="3"/>
  <c r="F247" i="3"/>
  <c r="E247" i="3"/>
  <c r="D247" i="3"/>
  <c r="C247" i="3"/>
  <c r="B247" i="3"/>
  <c r="U247" i="3" s="1"/>
  <c r="A247" i="3"/>
  <c r="T246" i="3"/>
  <c r="S246" i="3"/>
  <c r="R246" i="3"/>
  <c r="P246" i="3"/>
  <c r="O246" i="3"/>
  <c r="N246" i="3"/>
  <c r="M246" i="3"/>
  <c r="L246" i="3"/>
  <c r="K246" i="3"/>
  <c r="J246" i="3"/>
  <c r="Q246" i="3" s="1"/>
  <c r="I246" i="3"/>
  <c r="H246" i="3"/>
  <c r="G246" i="3"/>
  <c r="F246" i="3"/>
  <c r="E246" i="3"/>
  <c r="D246" i="3"/>
  <c r="C246" i="3"/>
  <c r="B246" i="3"/>
  <c r="U246" i="3" s="1"/>
  <c r="A246" i="3"/>
  <c r="T245" i="3"/>
  <c r="S245" i="3"/>
  <c r="P245" i="3"/>
  <c r="O245" i="3"/>
  <c r="M245" i="3"/>
  <c r="L245" i="3"/>
  <c r="N245" i="3" s="1"/>
  <c r="R245" i="3" s="1"/>
  <c r="K245" i="3"/>
  <c r="J245" i="3"/>
  <c r="Q245" i="3" s="1"/>
  <c r="I245" i="3"/>
  <c r="H245" i="3"/>
  <c r="G245" i="3"/>
  <c r="F245" i="3"/>
  <c r="E245" i="3"/>
  <c r="D245" i="3"/>
  <c r="C245" i="3"/>
  <c r="B245" i="3"/>
  <c r="U245" i="3" s="1"/>
  <c r="A245" i="3"/>
  <c r="U244" i="3"/>
  <c r="T244" i="3"/>
  <c r="S244" i="3"/>
  <c r="P244" i="3"/>
  <c r="O244" i="3"/>
  <c r="M244" i="3"/>
  <c r="L244" i="3"/>
  <c r="K244" i="3"/>
  <c r="J244" i="3"/>
  <c r="I244" i="3"/>
  <c r="H244" i="3"/>
  <c r="G244" i="3"/>
  <c r="F244" i="3"/>
  <c r="E244" i="3"/>
  <c r="D244" i="3"/>
  <c r="C244" i="3"/>
  <c r="B244" i="3"/>
  <c r="A244" i="3"/>
  <c r="T243" i="3"/>
  <c r="S243" i="3"/>
  <c r="P243" i="3"/>
  <c r="O243" i="3"/>
  <c r="M243" i="3"/>
  <c r="L243" i="3"/>
  <c r="K243" i="3"/>
  <c r="J243" i="3"/>
  <c r="I243" i="3"/>
  <c r="H243" i="3"/>
  <c r="G243" i="3"/>
  <c r="F243" i="3"/>
  <c r="E243" i="3"/>
  <c r="D243" i="3"/>
  <c r="C243" i="3"/>
  <c r="B243" i="3"/>
  <c r="U243" i="3" s="1"/>
  <c r="A243" i="3"/>
  <c r="T242" i="3"/>
  <c r="S242" i="3"/>
  <c r="Q242" i="3"/>
  <c r="P242" i="3"/>
  <c r="O242" i="3"/>
  <c r="N242" i="3"/>
  <c r="R242" i="3" s="1"/>
  <c r="M242" i="3"/>
  <c r="L242" i="3"/>
  <c r="K242" i="3"/>
  <c r="J242" i="3"/>
  <c r="I242" i="3"/>
  <c r="H242" i="3"/>
  <c r="G242" i="3"/>
  <c r="F242" i="3"/>
  <c r="E242" i="3"/>
  <c r="D242" i="3"/>
  <c r="C242" i="3"/>
  <c r="B242" i="3"/>
  <c r="U242" i="3" s="1"/>
  <c r="A242" i="3"/>
  <c r="T241" i="3"/>
  <c r="S241" i="3"/>
  <c r="P241" i="3"/>
  <c r="Q241" i="3" s="1"/>
  <c r="O241" i="3"/>
  <c r="N241" i="3"/>
  <c r="R241" i="3" s="1"/>
  <c r="M241" i="3"/>
  <c r="L241" i="3"/>
  <c r="K241" i="3"/>
  <c r="J241" i="3"/>
  <c r="I241" i="3"/>
  <c r="H241" i="3"/>
  <c r="G241" i="3"/>
  <c r="F241" i="3"/>
  <c r="E241" i="3"/>
  <c r="D241" i="3"/>
  <c r="C241" i="3"/>
  <c r="B241" i="3"/>
  <c r="U241" i="3" s="1"/>
  <c r="A241" i="3"/>
  <c r="T240" i="3"/>
  <c r="S240" i="3"/>
  <c r="P240" i="3"/>
  <c r="O240" i="3"/>
  <c r="M240" i="3"/>
  <c r="L240" i="3"/>
  <c r="K240" i="3"/>
  <c r="N240" i="3" s="1"/>
  <c r="R240" i="3" s="1"/>
  <c r="J240" i="3"/>
  <c r="Q240" i="3" s="1"/>
  <c r="I240" i="3"/>
  <c r="H240" i="3"/>
  <c r="G240" i="3"/>
  <c r="F240" i="3"/>
  <c r="E240" i="3"/>
  <c r="D240" i="3"/>
  <c r="C240" i="3"/>
  <c r="B240" i="3"/>
  <c r="U240" i="3" s="1"/>
  <c r="A240" i="3"/>
  <c r="U239" i="3"/>
  <c r="T239" i="3"/>
  <c r="S239" i="3"/>
  <c r="P239" i="3"/>
  <c r="O239" i="3"/>
  <c r="M239" i="3"/>
  <c r="L239" i="3"/>
  <c r="K239" i="3"/>
  <c r="J239" i="3"/>
  <c r="I239" i="3"/>
  <c r="H239" i="3"/>
  <c r="G239" i="3"/>
  <c r="F239" i="3"/>
  <c r="E239" i="3"/>
  <c r="D239" i="3"/>
  <c r="C239" i="3"/>
  <c r="B239" i="3"/>
  <c r="A239" i="3"/>
  <c r="U238" i="3"/>
  <c r="T238" i="3"/>
  <c r="S238" i="3"/>
  <c r="P238" i="3"/>
  <c r="O238" i="3"/>
  <c r="M238" i="3"/>
  <c r="L238" i="3"/>
  <c r="K238" i="3"/>
  <c r="J238" i="3"/>
  <c r="N238" i="3" s="1"/>
  <c r="I238" i="3"/>
  <c r="H238" i="3"/>
  <c r="G238" i="3"/>
  <c r="F238" i="3"/>
  <c r="E238" i="3"/>
  <c r="D238" i="3"/>
  <c r="C238" i="3"/>
  <c r="B238" i="3"/>
  <c r="A238" i="3"/>
  <c r="T237" i="3"/>
  <c r="S237" i="3"/>
  <c r="P237" i="3"/>
  <c r="O237" i="3"/>
  <c r="N237" i="3"/>
  <c r="M237" i="3"/>
  <c r="L237" i="3"/>
  <c r="K237" i="3"/>
  <c r="J237" i="3"/>
  <c r="I237" i="3"/>
  <c r="H237" i="3"/>
  <c r="G237" i="3"/>
  <c r="F237" i="3"/>
  <c r="E237" i="3"/>
  <c r="D237" i="3"/>
  <c r="C237" i="3"/>
  <c r="B237" i="3"/>
  <c r="U237" i="3" s="1"/>
  <c r="A237" i="3"/>
  <c r="T236" i="3"/>
  <c r="S236" i="3"/>
  <c r="Q236" i="3"/>
  <c r="P236" i="3"/>
  <c r="O236" i="3"/>
  <c r="M236" i="3"/>
  <c r="L236" i="3"/>
  <c r="K236" i="3"/>
  <c r="J236" i="3"/>
  <c r="N236" i="3" s="1"/>
  <c r="R236" i="3" s="1"/>
  <c r="I236" i="3"/>
  <c r="H236" i="3"/>
  <c r="G236" i="3"/>
  <c r="F236" i="3"/>
  <c r="E236" i="3"/>
  <c r="D236" i="3"/>
  <c r="C236" i="3"/>
  <c r="B236" i="3"/>
  <c r="U236" i="3" s="1"/>
  <c r="A236" i="3"/>
  <c r="T235" i="3"/>
  <c r="S235" i="3"/>
  <c r="P235" i="3"/>
  <c r="O235" i="3"/>
  <c r="N235" i="3"/>
  <c r="R235" i="3" s="1"/>
  <c r="M235" i="3"/>
  <c r="L235" i="3"/>
  <c r="K235" i="3"/>
  <c r="J235" i="3"/>
  <c r="Q235" i="3" s="1"/>
  <c r="I235" i="3"/>
  <c r="H235" i="3"/>
  <c r="G235" i="3"/>
  <c r="F235" i="3"/>
  <c r="E235" i="3"/>
  <c r="D235" i="3"/>
  <c r="C235" i="3"/>
  <c r="B235" i="3"/>
  <c r="U235" i="3" s="1"/>
  <c r="A235" i="3"/>
  <c r="T234" i="3"/>
  <c r="S234" i="3"/>
  <c r="P234" i="3"/>
  <c r="O234" i="3"/>
  <c r="M234" i="3"/>
  <c r="L234" i="3"/>
  <c r="K234" i="3"/>
  <c r="J234" i="3"/>
  <c r="I234" i="3"/>
  <c r="H234" i="3"/>
  <c r="G234" i="3"/>
  <c r="F234" i="3"/>
  <c r="E234" i="3"/>
  <c r="D234" i="3"/>
  <c r="C234" i="3"/>
  <c r="B234" i="3"/>
  <c r="U234" i="3" s="1"/>
  <c r="A234" i="3"/>
  <c r="U233" i="3"/>
  <c r="T233" i="3"/>
  <c r="S233" i="3"/>
  <c r="P233" i="3"/>
  <c r="O233" i="3"/>
  <c r="N233" i="3"/>
  <c r="M233" i="3"/>
  <c r="L233" i="3"/>
  <c r="K233" i="3"/>
  <c r="J233" i="3"/>
  <c r="I233" i="3"/>
  <c r="H233" i="3"/>
  <c r="G233" i="3"/>
  <c r="F233" i="3"/>
  <c r="E233" i="3"/>
  <c r="D233" i="3"/>
  <c r="C233" i="3"/>
  <c r="B233" i="3"/>
  <c r="A233" i="3"/>
  <c r="T232" i="3"/>
  <c r="S232" i="3"/>
  <c r="Q232" i="3"/>
  <c r="R232" i="3" s="1"/>
  <c r="P232" i="3"/>
  <c r="O232" i="3"/>
  <c r="N232" i="3"/>
  <c r="M232" i="3"/>
  <c r="L232" i="3"/>
  <c r="K232" i="3"/>
  <c r="J232" i="3"/>
  <c r="I232" i="3"/>
  <c r="H232" i="3"/>
  <c r="G232" i="3"/>
  <c r="F232" i="3"/>
  <c r="E232" i="3"/>
  <c r="D232" i="3"/>
  <c r="C232" i="3"/>
  <c r="B232" i="3"/>
  <c r="U232" i="3" s="1"/>
  <c r="A232" i="3"/>
  <c r="T231" i="3"/>
  <c r="S231" i="3"/>
  <c r="P231" i="3"/>
  <c r="O231" i="3"/>
  <c r="M231" i="3"/>
  <c r="L231" i="3"/>
  <c r="N231" i="3" s="1"/>
  <c r="R231" i="3" s="1"/>
  <c r="K231" i="3"/>
  <c r="J231" i="3"/>
  <c r="Q231" i="3" s="1"/>
  <c r="I231" i="3"/>
  <c r="H231" i="3"/>
  <c r="G231" i="3"/>
  <c r="F231" i="3"/>
  <c r="E231" i="3"/>
  <c r="D231" i="3"/>
  <c r="C231" i="3"/>
  <c r="B231" i="3"/>
  <c r="U231" i="3" s="1"/>
  <c r="A231" i="3"/>
  <c r="T230" i="3"/>
  <c r="S230" i="3"/>
  <c r="P230" i="3"/>
  <c r="Q230" i="3" s="1"/>
  <c r="O230" i="3"/>
  <c r="M230" i="3"/>
  <c r="L230" i="3"/>
  <c r="K230" i="3"/>
  <c r="J230" i="3"/>
  <c r="I230" i="3"/>
  <c r="H230" i="3"/>
  <c r="G230" i="3"/>
  <c r="F230" i="3"/>
  <c r="E230" i="3"/>
  <c r="D230" i="3"/>
  <c r="C230" i="3"/>
  <c r="B230" i="3"/>
  <c r="U230" i="3" s="1"/>
  <c r="A230" i="3"/>
  <c r="T229" i="3"/>
  <c r="S229" i="3"/>
  <c r="P229" i="3"/>
  <c r="Q229" i="3" s="1"/>
  <c r="O229" i="3"/>
  <c r="M229" i="3"/>
  <c r="L229" i="3"/>
  <c r="K229" i="3"/>
  <c r="J229" i="3"/>
  <c r="N229" i="3" s="1"/>
  <c r="I229" i="3"/>
  <c r="H229" i="3"/>
  <c r="G229" i="3"/>
  <c r="F229" i="3"/>
  <c r="E229" i="3"/>
  <c r="D229" i="3"/>
  <c r="C229" i="3"/>
  <c r="B229" i="3"/>
  <c r="U229" i="3" s="1"/>
  <c r="A229" i="3"/>
  <c r="T228" i="3"/>
  <c r="S228" i="3"/>
  <c r="P228" i="3"/>
  <c r="O228" i="3"/>
  <c r="N228" i="3"/>
  <c r="R228" i="3" s="1"/>
  <c r="M228" i="3"/>
  <c r="L228" i="3"/>
  <c r="K228" i="3"/>
  <c r="J228" i="3"/>
  <c r="Q228" i="3" s="1"/>
  <c r="I228" i="3"/>
  <c r="H228" i="3"/>
  <c r="G228" i="3"/>
  <c r="F228" i="3"/>
  <c r="E228" i="3"/>
  <c r="D228" i="3"/>
  <c r="C228" i="3"/>
  <c r="B228" i="3"/>
  <c r="U228" i="3" s="1"/>
  <c r="A228" i="3"/>
  <c r="T227" i="3"/>
  <c r="S227" i="3"/>
  <c r="P227" i="3"/>
  <c r="O227" i="3"/>
  <c r="M227" i="3"/>
  <c r="L227" i="3"/>
  <c r="K227" i="3"/>
  <c r="N227" i="3" s="1"/>
  <c r="J227" i="3"/>
  <c r="I227" i="3"/>
  <c r="H227" i="3"/>
  <c r="G227" i="3"/>
  <c r="F227" i="3"/>
  <c r="E227" i="3"/>
  <c r="D227" i="3"/>
  <c r="C227" i="3"/>
  <c r="B227" i="3"/>
  <c r="U227" i="3" s="1"/>
  <c r="A227" i="3"/>
  <c r="T226" i="3"/>
  <c r="S226" i="3"/>
  <c r="P226" i="3"/>
  <c r="O226" i="3"/>
  <c r="N226" i="3"/>
  <c r="R226" i="3" s="1"/>
  <c r="M226" i="3"/>
  <c r="L226" i="3"/>
  <c r="K226" i="3"/>
  <c r="J226" i="3"/>
  <c r="Q226" i="3" s="1"/>
  <c r="I226" i="3"/>
  <c r="H226" i="3"/>
  <c r="G226" i="3"/>
  <c r="F226" i="3"/>
  <c r="E226" i="3"/>
  <c r="D226" i="3"/>
  <c r="C226" i="3"/>
  <c r="B226" i="3"/>
  <c r="U226" i="3" s="1"/>
  <c r="A226" i="3"/>
  <c r="T225" i="3"/>
  <c r="S225" i="3"/>
  <c r="P225" i="3"/>
  <c r="O225" i="3"/>
  <c r="M225" i="3"/>
  <c r="L225" i="3"/>
  <c r="K225" i="3"/>
  <c r="J225" i="3"/>
  <c r="I225" i="3"/>
  <c r="H225" i="3"/>
  <c r="G225" i="3"/>
  <c r="F225" i="3"/>
  <c r="E225" i="3"/>
  <c r="D225" i="3"/>
  <c r="C225" i="3"/>
  <c r="B225" i="3"/>
  <c r="U225" i="3" s="1"/>
  <c r="A225" i="3"/>
  <c r="T224" i="3"/>
  <c r="S224" i="3"/>
  <c r="P224" i="3"/>
  <c r="Q224" i="3" s="1"/>
  <c r="O224" i="3"/>
  <c r="N224" i="3"/>
  <c r="M224" i="3"/>
  <c r="L224" i="3"/>
  <c r="K224" i="3"/>
  <c r="J224" i="3"/>
  <c r="I224" i="3"/>
  <c r="H224" i="3"/>
  <c r="G224" i="3"/>
  <c r="F224" i="3"/>
  <c r="E224" i="3"/>
  <c r="D224" i="3"/>
  <c r="C224" i="3"/>
  <c r="B224" i="3"/>
  <c r="U224" i="3" s="1"/>
  <c r="A224" i="3"/>
  <c r="T223" i="3"/>
  <c r="S223" i="3"/>
  <c r="P223" i="3"/>
  <c r="Q223" i="3" s="1"/>
  <c r="O223" i="3"/>
  <c r="N223" i="3"/>
  <c r="M223" i="3"/>
  <c r="L223" i="3"/>
  <c r="K223" i="3"/>
  <c r="J223" i="3"/>
  <c r="I223" i="3"/>
  <c r="H223" i="3"/>
  <c r="G223" i="3"/>
  <c r="F223" i="3"/>
  <c r="E223" i="3"/>
  <c r="D223" i="3"/>
  <c r="C223" i="3"/>
  <c r="B223" i="3"/>
  <c r="U223" i="3" s="1"/>
  <c r="A223" i="3"/>
  <c r="T222" i="3"/>
  <c r="S222" i="3"/>
  <c r="P222" i="3"/>
  <c r="O222" i="3"/>
  <c r="M222" i="3"/>
  <c r="L222" i="3"/>
  <c r="K222" i="3"/>
  <c r="J222" i="3"/>
  <c r="I222" i="3"/>
  <c r="H222" i="3"/>
  <c r="G222" i="3"/>
  <c r="F222" i="3"/>
  <c r="E222" i="3"/>
  <c r="D222" i="3"/>
  <c r="C222" i="3"/>
  <c r="B222" i="3"/>
  <c r="U222" i="3" s="1"/>
  <c r="A222" i="3"/>
  <c r="U221" i="3"/>
  <c r="T221" i="3"/>
  <c r="S221" i="3"/>
  <c r="P221" i="3"/>
  <c r="O221" i="3"/>
  <c r="M221" i="3"/>
  <c r="L221" i="3"/>
  <c r="K221" i="3"/>
  <c r="J221" i="3"/>
  <c r="I221" i="3"/>
  <c r="H221" i="3"/>
  <c r="G221" i="3"/>
  <c r="F221" i="3"/>
  <c r="E221" i="3"/>
  <c r="D221" i="3"/>
  <c r="C221" i="3"/>
  <c r="B221" i="3"/>
  <c r="A221" i="3"/>
  <c r="U220" i="3"/>
  <c r="T220" i="3"/>
  <c r="S220" i="3"/>
  <c r="P220" i="3"/>
  <c r="O220" i="3"/>
  <c r="M220" i="3"/>
  <c r="L220" i="3"/>
  <c r="K220" i="3"/>
  <c r="J220" i="3"/>
  <c r="N220" i="3" s="1"/>
  <c r="I220" i="3"/>
  <c r="H220" i="3"/>
  <c r="G220" i="3"/>
  <c r="F220" i="3"/>
  <c r="E220" i="3"/>
  <c r="D220" i="3"/>
  <c r="C220" i="3"/>
  <c r="B220" i="3"/>
  <c r="A220" i="3"/>
  <c r="T219" i="3"/>
  <c r="S219" i="3"/>
  <c r="P219" i="3"/>
  <c r="O219" i="3"/>
  <c r="N219" i="3"/>
  <c r="M219" i="3"/>
  <c r="L219" i="3"/>
  <c r="K219" i="3"/>
  <c r="J219" i="3"/>
  <c r="Q219" i="3" s="1"/>
  <c r="I219" i="3"/>
  <c r="H219" i="3"/>
  <c r="G219" i="3"/>
  <c r="F219" i="3"/>
  <c r="E219" i="3"/>
  <c r="D219" i="3"/>
  <c r="C219" i="3"/>
  <c r="B219" i="3"/>
  <c r="U219" i="3" s="1"/>
  <c r="A219" i="3"/>
  <c r="T218" i="3"/>
  <c r="S218" i="3"/>
  <c r="P218" i="3"/>
  <c r="Q218" i="3" s="1"/>
  <c r="O218" i="3"/>
  <c r="M218" i="3"/>
  <c r="L218" i="3"/>
  <c r="K218" i="3"/>
  <c r="J218" i="3"/>
  <c r="I218" i="3"/>
  <c r="H218" i="3"/>
  <c r="G218" i="3"/>
  <c r="F218" i="3"/>
  <c r="E218" i="3"/>
  <c r="D218" i="3"/>
  <c r="C218" i="3"/>
  <c r="B218" i="3"/>
  <c r="U218" i="3" s="1"/>
  <c r="A218" i="3"/>
  <c r="T217" i="3"/>
  <c r="S217" i="3"/>
  <c r="P217" i="3"/>
  <c r="O217" i="3"/>
  <c r="M217" i="3"/>
  <c r="L217" i="3"/>
  <c r="K217" i="3"/>
  <c r="J217" i="3"/>
  <c r="I217" i="3"/>
  <c r="H217" i="3"/>
  <c r="G217" i="3"/>
  <c r="F217" i="3"/>
  <c r="E217" i="3"/>
  <c r="D217" i="3"/>
  <c r="C217" i="3"/>
  <c r="B217" i="3"/>
  <c r="U217" i="3" s="1"/>
  <c r="A217" i="3"/>
  <c r="T216" i="3"/>
  <c r="S216" i="3"/>
  <c r="P216" i="3"/>
  <c r="O216" i="3"/>
  <c r="M216" i="3"/>
  <c r="L216" i="3"/>
  <c r="K216" i="3"/>
  <c r="J216" i="3"/>
  <c r="I216" i="3"/>
  <c r="H216" i="3"/>
  <c r="G216" i="3"/>
  <c r="F216" i="3"/>
  <c r="E216" i="3"/>
  <c r="D216" i="3"/>
  <c r="C216" i="3"/>
  <c r="B216" i="3"/>
  <c r="U216" i="3" s="1"/>
  <c r="A216" i="3"/>
  <c r="T215" i="3"/>
  <c r="S215" i="3"/>
  <c r="P215" i="3"/>
  <c r="O215" i="3"/>
  <c r="N215" i="3"/>
  <c r="M215" i="3"/>
  <c r="L215" i="3"/>
  <c r="K215" i="3"/>
  <c r="J215" i="3"/>
  <c r="I215" i="3"/>
  <c r="H215" i="3"/>
  <c r="G215" i="3"/>
  <c r="F215" i="3"/>
  <c r="E215" i="3"/>
  <c r="D215" i="3"/>
  <c r="C215" i="3"/>
  <c r="B215" i="3"/>
  <c r="U215" i="3" s="1"/>
  <c r="A215" i="3"/>
  <c r="T214" i="3"/>
  <c r="S214" i="3"/>
  <c r="P214" i="3"/>
  <c r="Q214" i="3" s="1"/>
  <c r="O214" i="3"/>
  <c r="M214" i="3"/>
  <c r="L214" i="3"/>
  <c r="N214" i="3" s="1"/>
  <c r="K214" i="3"/>
  <c r="J214" i="3"/>
  <c r="I214" i="3"/>
  <c r="H214" i="3"/>
  <c r="G214" i="3"/>
  <c r="F214" i="3"/>
  <c r="E214" i="3"/>
  <c r="D214" i="3"/>
  <c r="C214" i="3"/>
  <c r="B214" i="3"/>
  <c r="U214" i="3" s="1"/>
  <c r="A214" i="3"/>
  <c r="T213" i="3"/>
  <c r="S213" i="3"/>
  <c r="P213" i="3"/>
  <c r="O213" i="3"/>
  <c r="N213" i="3"/>
  <c r="M213" i="3"/>
  <c r="L213" i="3"/>
  <c r="K213" i="3"/>
  <c r="J213" i="3"/>
  <c r="I213" i="3"/>
  <c r="H213" i="3"/>
  <c r="G213" i="3"/>
  <c r="F213" i="3"/>
  <c r="E213" i="3"/>
  <c r="D213" i="3"/>
  <c r="C213" i="3"/>
  <c r="B213" i="3"/>
  <c r="U213" i="3" s="1"/>
  <c r="A213" i="3"/>
  <c r="T212" i="3"/>
  <c r="S212" i="3"/>
  <c r="Q212" i="3"/>
  <c r="P212" i="3"/>
  <c r="O212" i="3"/>
  <c r="M212" i="3"/>
  <c r="L212" i="3"/>
  <c r="K212" i="3"/>
  <c r="J212" i="3"/>
  <c r="I212" i="3"/>
  <c r="H212" i="3"/>
  <c r="G212" i="3"/>
  <c r="F212" i="3"/>
  <c r="E212" i="3"/>
  <c r="D212" i="3"/>
  <c r="C212" i="3"/>
  <c r="B212" i="3"/>
  <c r="U212" i="3" s="1"/>
  <c r="A212" i="3"/>
  <c r="T211" i="3"/>
  <c r="S211" i="3"/>
  <c r="P211" i="3"/>
  <c r="O211" i="3"/>
  <c r="M211" i="3"/>
  <c r="L211" i="3"/>
  <c r="K211" i="3"/>
  <c r="J211" i="3"/>
  <c r="I211" i="3"/>
  <c r="H211" i="3"/>
  <c r="G211" i="3"/>
  <c r="F211" i="3"/>
  <c r="E211" i="3"/>
  <c r="D211" i="3"/>
  <c r="C211" i="3"/>
  <c r="B211" i="3"/>
  <c r="U211" i="3" s="1"/>
  <c r="A211" i="3"/>
  <c r="T210" i="3"/>
  <c r="S210" i="3"/>
  <c r="R210" i="3"/>
  <c r="P210" i="3"/>
  <c r="O210" i="3"/>
  <c r="N210" i="3"/>
  <c r="M210" i="3"/>
  <c r="L210" i="3"/>
  <c r="K210" i="3"/>
  <c r="J210" i="3"/>
  <c r="Q210" i="3" s="1"/>
  <c r="I210" i="3"/>
  <c r="H210" i="3"/>
  <c r="G210" i="3"/>
  <c r="F210" i="3"/>
  <c r="E210" i="3"/>
  <c r="D210" i="3"/>
  <c r="C210" i="3"/>
  <c r="B210" i="3"/>
  <c r="U210" i="3" s="1"/>
  <c r="A210" i="3"/>
  <c r="T209" i="3"/>
  <c r="S209" i="3"/>
  <c r="P209" i="3"/>
  <c r="O209" i="3"/>
  <c r="M209" i="3"/>
  <c r="L209" i="3"/>
  <c r="K209" i="3"/>
  <c r="J209" i="3"/>
  <c r="Q209" i="3" s="1"/>
  <c r="I209" i="3"/>
  <c r="H209" i="3"/>
  <c r="G209" i="3"/>
  <c r="F209" i="3"/>
  <c r="E209" i="3"/>
  <c r="D209" i="3"/>
  <c r="C209" i="3"/>
  <c r="B209" i="3"/>
  <c r="U209" i="3" s="1"/>
  <c r="A209" i="3"/>
  <c r="U208" i="3"/>
  <c r="T208" i="3"/>
  <c r="S208" i="3"/>
  <c r="P208" i="3"/>
  <c r="O208" i="3"/>
  <c r="M208" i="3"/>
  <c r="L208" i="3"/>
  <c r="K208" i="3"/>
  <c r="J208" i="3"/>
  <c r="Q208" i="3" s="1"/>
  <c r="I208" i="3"/>
  <c r="H208" i="3"/>
  <c r="G208" i="3"/>
  <c r="F208" i="3"/>
  <c r="E208" i="3"/>
  <c r="D208" i="3"/>
  <c r="C208" i="3"/>
  <c r="B208" i="3"/>
  <c r="A208" i="3"/>
  <c r="T207" i="3"/>
  <c r="S207" i="3"/>
  <c r="P207" i="3"/>
  <c r="O207" i="3"/>
  <c r="M207" i="3"/>
  <c r="L207" i="3"/>
  <c r="K207" i="3"/>
  <c r="J207" i="3"/>
  <c r="I207" i="3"/>
  <c r="H207" i="3"/>
  <c r="G207" i="3"/>
  <c r="F207" i="3"/>
  <c r="E207" i="3"/>
  <c r="D207" i="3"/>
  <c r="C207" i="3"/>
  <c r="B207" i="3"/>
  <c r="U207" i="3" s="1"/>
  <c r="A207" i="3"/>
  <c r="T206" i="3"/>
  <c r="S206" i="3"/>
  <c r="P206" i="3"/>
  <c r="Q206" i="3" s="1"/>
  <c r="O206" i="3"/>
  <c r="N206" i="3"/>
  <c r="M206" i="3"/>
  <c r="L206" i="3"/>
  <c r="K206" i="3"/>
  <c r="J206" i="3"/>
  <c r="I206" i="3"/>
  <c r="H206" i="3"/>
  <c r="G206" i="3"/>
  <c r="F206" i="3"/>
  <c r="E206" i="3"/>
  <c r="D206" i="3"/>
  <c r="C206" i="3"/>
  <c r="B206" i="3"/>
  <c r="U206" i="3" s="1"/>
  <c r="A206" i="3"/>
  <c r="T205" i="3"/>
  <c r="S205" i="3"/>
  <c r="P205" i="3"/>
  <c r="Q205" i="3" s="1"/>
  <c r="R205" i="3" s="1"/>
  <c r="O205" i="3"/>
  <c r="N205" i="3"/>
  <c r="M205" i="3"/>
  <c r="L205" i="3"/>
  <c r="K205" i="3"/>
  <c r="J205" i="3"/>
  <c r="I205" i="3"/>
  <c r="H205" i="3"/>
  <c r="G205" i="3"/>
  <c r="F205" i="3"/>
  <c r="E205" i="3"/>
  <c r="D205" i="3"/>
  <c r="C205" i="3"/>
  <c r="B205" i="3"/>
  <c r="U205" i="3" s="1"/>
  <c r="A205" i="3"/>
  <c r="T204" i="3"/>
  <c r="S204" i="3"/>
  <c r="P204" i="3"/>
  <c r="O204" i="3"/>
  <c r="N204" i="3"/>
  <c r="R204" i="3" s="1"/>
  <c r="M204" i="3"/>
  <c r="L204" i="3"/>
  <c r="K204" i="3"/>
  <c r="J204" i="3"/>
  <c r="Q204" i="3" s="1"/>
  <c r="I204" i="3"/>
  <c r="H204" i="3"/>
  <c r="G204" i="3"/>
  <c r="F204" i="3"/>
  <c r="E204" i="3"/>
  <c r="D204" i="3"/>
  <c r="C204" i="3"/>
  <c r="B204" i="3"/>
  <c r="U204" i="3" s="1"/>
  <c r="A204" i="3"/>
  <c r="U203" i="3"/>
  <c r="T203" i="3"/>
  <c r="S203" i="3"/>
  <c r="P203" i="3"/>
  <c r="O203" i="3"/>
  <c r="M203" i="3"/>
  <c r="L203" i="3"/>
  <c r="K203" i="3"/>
  <c r="J203" i="3"/>
  <c r="I203" i="3"/>
  <c r="H203" i="3"/>
  <c r="G203" i="3"/>
  <c r="F203" i="3"/>
  <c r="E203" i="3"/>
  <c r="D203" i="3"/>
  <c r="C203" i="3"/>
  <c r="B203" i="3"/>
  <c r="A203" i="3"/>
  <c r="U202" i="3"/>
  <c r="T202" i="3"/>
  <c r="S202" i="3"/>
  <c r="P202" i="3"/>
  <c r="Q202" i="3" s="1"/>
  <c r="R202" i="3" s="1"/>
  <c r="O202" i="3"/>
  <c r="M202" i="3"/>
  <c r="L202" i="3"/>
  <c r="K202" i="3"/>
  <c r="J202" i="3"/>
  <c r="N202" i="3" s="1"/>
  <c r="I202" i="3"/>
  <c r="H202" i="3"/>
  <c r="G202" i="3"/>
  <c r="F202" i="3"/>
  <c r="E202" i="3"/>
  <c r="D202" i="3"/>
  <c r="C202" i="3"/>
  <c r="B202" i="3"/>
  <c r="A202" i="3"/>
  <c r="T201" i="3"/>
  <c r="S201" i="3"/>
  <c r="P201" i="3"/>
  <c r="O201" i="3"/>
  <c r="N201" i="3"/>
  <c r="M201" i="3"/>
  <c r="L201" i="3"/>
  <c r="K201" i="3"/>
  <c r="J201" i="3"/>
  <c r="I201" i="3"/>
  <c r="H201" i="3"/>
  <c r="G201" i="3"/>
  <c r="F201" i="3"/>
  <c r="E201" i="3"/>
  <c r="D201" i="3"/>
  <c r="C201" i="3"/>
  <c r="B201" i="3"/>
  <c r="U201" i="3" s="1"/>
  <c r="A201" i="3"/>
  <c r="T200" i="3"/>
  <c r="S200" i="3"/>
  <c r="P200" i="3"/>
  <c r="Q200" i="3" s="1"/>
  <c r="O200" i="3"/>
  <c r="M200" i="3"/>
  <c r="L200" i="3"/>
  <c r="K200" i="3"/>
  <c r="J200" i="3"/>
  <c r="N200" i="3" s="1"/>
  <c r="I200" i="3"/>
  <c r="H200" i="3"/>
  <c r="G200" i="3"/>
  <c r="F200" i="3"/>
  <c r="E200" i="3"/>
  <c r="D200" i="3"/>
  <c r="C200" i="3"/>
  <c r="B200" i="3"/>
  <c r="U200" i="3" s="1"/>
  <c r="A200" i="3"/>
  <c r="T199" i="3"/>
  <c r="S199" i="3"/>
  <c r="P199" i="3"/>
  <c r="O199" i="3"/>
  <c r="M199" i="3"/>
  <c r="L199" i="3"/>
  <c r="K199" i="3"/>
  <c r="J199" i="3"/>
  <c r="Q199" i="3" s="1"/>
  <c r="I199" i="3"/>
  <c r="H199" i="3"/>
  <c r="G199" i="3"/>
  <c r="F199" i="3"/>
  <c r="E199" i="3"/>
  <c r="D199" i="3"/>
  <c r="C199" i="3"/>
  <c r="B199" i="3"/>
  <c r="U199" i="3" s="1"/>
  <c r="A199" i="3"/>
  <c r="T198" i="3"/>
  <c r="S198" i="3"/>
  <c r="P198" i="3"/>
  <c r="O198" i="3"/>
  <c r="M198" i="3"/>
  <c r="L198" i="3"/>
  <c r="K198" i="3"/>
  <c r="J198" i="3"/>
  <c r="I198" i="3"/>
  <c r="H198" i="3"/>
  <c r="G198" i="3"/>
  <c r="F198" i="3"/>
  <c r="E198" i="3"/>
  <c r="D198" i="3"/>
  <c r="C198" i="3"/>
  <c r="B198" i="3"/>
  <c r="U198" i="3" s="1"/>
  <c r="A198" i="3"/>
  <c r="U197" i="3"/>
  <c r="T197" i="3"/>
  <c r="S197" i="3"/>
  <c r="P197" i="3"/>
  <c r="O197" i="3"/>
  <c r="N197" i="3"/>
  <c r="M197" i="3"/>
  <c r="L197" i="3"/>
  <c r="K197" i="3"/>
  <c r="J197" i="3"/>
  <c r="I197" i="3"/>
  <c r="H197" i="3"/>
  <c r="G197" i="3"/>
  <c r="F197" i="3"/>
  <c r="E197" i="3"/>
  <c r="D197" i="3"/>
  <c r="C197" i="3"/>
  <c r="B197" i="3"/>
  <c r="A197" i="3"/>
  <c r="T196" i="3"/>
  <c r="S196" i="3"/>
  <c r="P196" i="3"/>
  <c r="Q196" i="3" s="1"/>
  <c r="O196" i="3"/>
  <c r="M196" i="3"/>
  <c r="L196" i="3"/>
  <c r="N196" i="3" s="1"/>
  <c r="R196" i="3" s="1"/>
  <c r="K196" i="3"/>
  <c r="J196" i="3"/>
  <c r="I196" i="3"/>
  <c r="H196" i="3"/>
  <c r="G196" i="3"/>
  <c r="F196" i="3"/>
  <c r="E196" i="3"/>
  <c r="D196" i="3"/>
  <c r="C196" i="3"/>
  <c r="B196" i="3"/>
  <c r="U196" i="3" s="1"/>
  <c r="A196" i="3"/>
  <c r="T195" i="3"/>
  <c r="S195" i="3"/>
  <c r="P195" i="3"/>
  <c r="O195" i="3"/>
  <c r="M195" i="3"/>
  <c r="L195" i="3"/>
  <c r="K195" i="3"/>
  <c r="J195" i="3"/>
  <c r="Q195" i="3" s="1"/>
  <c r="I195" i="3"/>
  <c r="H195" i="3"/>
  <c r="G195" i="3"/>
  <c r="F195" i="3"/>
  <c r="E195" i="3"/>
  <c r="D195" i="3"/>
  <c r="C195" i="3"/>
  <c r="B195" i="3"/>
  <c r="U195" i="3" s="1"/>
  <c r="A195" i="3"/>
  <c r="T194" i="3"/>
  <c r="S194" i="3"/>
  <c r="Q194" i="3"/>
  <c r="P194" i="3"/>
  <c r="O194" i="3"/>
  <c r="M194" i="3"/>
  <c r="L194" i="3"/>
  <c r="K194" i="3"/>
  <c r="J194" i="3"/>
  <c r="I194" i="3"/>
  <c r="H194" i="3"/>
  <c r="G194" i="3"/>
  <c r="F194" i="3"/>
  <c r="E194" i="3"/>
  <c r="D194" i="3"/>
  <c r="C194" i="3"/>
  <c r="B194" i="3"/>
  <c r="U194" i="3" s="1"/>
  <c r="A194" i="3"/>
  <c r="U193" i="3"/>
  <c r="T193" i="3"/>
  <c r="S193" i="3"/>
  <c r="Q193" i="3"/>
  <c r="P193" i="3"/>
  <c r="O193" i="3"/>
  <c r="M193" i="3"/>
  <c r="L193" i="3"/>
  <c r="K193" i="3"/>
  <c r="J193" i="3"/>
  <c r="I193" i="3"/>
  <c r="H193" i="3"/>
  <c r="G193" i="3"/>
  <c r="F193" i="3"/>
  <c r="E193" i="3"/>
  <c r="D193" i="3"/>
  <c r="C193" i="3"/>
  <c r="B193" i="3"/>
  <c r="A193" i="3"/>
  <c r="U192" i="3"/>
  <c r="T192" i="3"/>
  <c r="S192" i="3"/>
  <c r="P192" i="3"/>
  <c r="Q192" i="3" s="1"/>
  <c r="O192" i="3"/>
  <c r="N192" i="3"/>
  <c r="R192" i="3" s="1"/>
  <c r="M192" i="3"/>
  <c r="L192" i="3"/>
  <c r="K192" i="3"/>
  <c r="J192" i="3"/>
  <c r="I192" i="3"/>
  <c r="H192" i="3"/>
  <c r="G192" i="3"/>
  <c r="F192" i="3"/>
  <c r="E192" i="3"/>
  <c r="D192" i="3"/>
  <c r="C192" i="3"/>
  <c r="B192" i="3"/>
  <c r="A192" i="3"/>
  <c r="T191" i="3"/>
  <c r="S191" i="3"/>
  <c r="Q191" i="3"/>
  <c r="R191" i="3" s="1"/>
  <c r="P191" i="3"/>
  <c r="O191" i="3"/>
  <c r="N191" i="3"/>
  <c r="M191" i="3"/>
  <c r="L191" i="3"/>
  <c r="K191" i="3"/>
  <c r="J191" i="3"/>
  <c r="I191" i="3"/>
  <c r="H191" i="3"/>
  <c r="G191" i="3"/>
  <c r="F191" i="3"/>
  <c r="E191" i="3"/>
  <c r="D191" i="3"/>
  <c r="C191" i="3"/>
  <c r="B191" i="3"/>
  <c r="U191" i="3" s="1"/>
  <c r="A191" i="3"/>
  <c r="U190" i="3"/>
  <c r="T190" i="3"/>
  <c r="S190" i="3"/>
  <c r="Q190" i="3"/>
  <c r="P190" i="3"/>
  <c r="O190" i="3"/>
  <c r="M190" i="3"/>
  <c r="L190" i="3"/>
  <c r="K190" i="3"/>
  <c r="J190" i="3"/>
  <c r="I190" i="3"/>
  <c r="H190" i="3"/>
  <c r="G190" i="3"/>
  <c r="F190" i="3"/>
  <c r="E190" i="3"/>
  <c r="D190" i="3"/>
  <c r="C190" i="3"/>
  <c r="B190" i="3"/>
  <c r="A190" i="3"/>
  <c r="T189" i="3"/>
  <c r="S189" i="3"/>
  <c r="O189" i="3"/>
  <c r="N189" i="3"/>
  <c r="M189" i="3"/>
  <c r="L189" i="3"/>
  <c r="K189" i="3"/>
  <c r="J189" i="3"/>
  <c r="I189" i="3"/>
  <c r="H189" i="3"/>
  <c r="G189" i="3"/>
  <c r="P189" i="3" s="1"/>
  <c r="F189" i="3"/>
  <c r="E189" i="3"/>
  <c r="D189" i="3"/>
  <c r="C189" i="3"/>
  <c r="B189" i="3"/>
  <c r="U189" i="3" s="1"/>
  <c r="A189" i="3"/>
  <c r="U188" i="3"/>
  <c r="T188" i="3"/>
  <c r="S188" i="3"/>
  <c r="Q188" i="3"/>
  <c r="P188" i="3"/>
  <c r="O188" i="3"/>
  <c r="M188" i="3"/>
  <c r="L188" i="3"/>
  <c r="K188" i="3"/>
  <c r="N188" i="3" s="1"/>
  <c r="R188" i="3" s="1"/>
  <c r="J188" i="3"/>
  <c r="I188" i="3"/>
  <c r="H188" i="3"/>
  <c r="G188" i="3"/>
  <c r="F188" i="3"/>
  <c r="E188" i="3"/>
  <c r="D188" i="3"/>
  <c r="C188" i="3"/>
  <c r="B188" i="3"/>
  <c r="A188" i="3"/>
  <c r="U187" i="3"/>
  <c r="T187" i="3"/>
  <c r="S187" i="3"/>
  <c r="Q187" i="3"/>
  <c r="P187" i="3"/>
  <c r="O187" i="3"/>
  <c r="M187" i="3"/>
  <c r="L187" i="3"/>
  <c r="K187" i="3"/>
  <c r="J187" i="3"/>
  <c r="I187" i="3"/>
  <c r="H187" i="3"/>
  <c r="G187" i="3"/>
  <c r="F187" i="3"/>
  <c r="E187" i="3"/>
  <c r="D187" i="3"/>
  <c r="C187" i="3"/>
  <c r="B187" i="3"/>
  <c r="A187" i="3"/>
  <c r="U186" i="3"/>
  <c r="T186" i="3"/>
  <c r="S186" i="3"/>
  <c r="P186" i="3"/>
  <c r="Q186" i="3" s="1"/>
  <c r="O186" i="3"/>
  <c r="N186" i="3"/>
  <c r="R186" i="3" s="1"/>
  <c r="M186" i="3"/>
  <c r="L186" i="3"/>
  <c r="K186" i="3"/>
  <c r="J186" i="3"/>
  <c r="I186" i="3"/>
  <c r="H186" i="3"/>
  <c r="G186" i="3"/>
  <c r="F186" i="3"/>
  <c r="E186" i="3"/>
  <c r="D186" i="3"/>
  <c r="C186" i="3"/>
  <c r="B186" i="3"/>
  <c r="A186" i="3"/>
  <c r="T185" i="3"/>
  <c r="S185" i="3"/>
  <c r="Q185" i="3"/>
  <c r="P185" i="3"/>
  <c r="O185" i="3"/>
  <c r="N185" i="3"/>
  <c r="R185" i="3" s="1"/>
  <c r="M185" i="3"/>
  <c r="L185" i="3"/>
  <c r="K185" i="3"/>
  <c r="J185" i="3"/>
  <c r="I185" i="3"/>
  <c r="H185" i="3"/>
  <c r="G185" i="3"/>
  <c r="F185" i="3"/>
  <c r="E185" i="3"/>
  <c r="D185" i="3"/>
  <c r="C185" i="3"/>
  <c r="B185" i="3"/>
  <c r="U185" i="3" s="1"/>
  <c r="A185" i="3"/>
  <c r="U184" i="3"/>
  <c r="T184" i="3"/>
  <c r="S184" i="3"/>
  <c r="P184" i="3"/>
  <c r="Q184" i="3" s="1"/>
  <c r="O184" i="3"/>
  <c r="M184" i="3"/>
  <c r="L184" i="3"/>
  <c r="K184" i="3"/>
  <c r="J184" i="3"/>
  <c r="N184" i="3" s="1"/>
  <c r="I184" i="3"/>
  <c r="H184" i="3"/>
  <c r="G184" i="3"/>
  <c r="F184" i="3"/>
  <c r="E184" i="3"/>
  <c r="D184" i="3"/>
  <c r="C184" i="3"/>
  <c r="B184" i="3"/>
  <c r="A184" i="3"/>
  <c r="T183" i="3"/>
  <c r="S183" i="3"/>
  <c r="P183" i="3"/>
  <c r="O183" i="3"/>
  <c r="M183" i="3"/>
  <c r="L183" i="3"/>
  <c r="K183" i="3"/>
  <c r="N183" i="3" s="1"/>
  <c r="R183" i="3" s="1"/>
  <c r="J183" i="3"/>
  <c r="Q183" i="3" s="1"/>
  <c r="I183" i="3"/>
  <c r="H183" i="3"/>
  <c r="G183" i="3"/>
  <c r="F183" i="3"/>
  <c r="E183" i="3"/>
  <c r="D183" i="3"/>
  <c r="C183" i="3"/>
  <c r="B183" i="3"/>
  <c r="U183" i="3" s="1"/>
  <c r="A183" i="3"/>
  <c r="U182" i="3"/>
  <c r="T182" i="3"/>
  <c r="S182" i="3"/>
  <c r="Q182" i="3"/>
  <c r="P182" i="3"/>
  <c r="O182" i="3"/>
  <c r="M182" i="3"/>
  <c r="L182" i="3"/>
  <c r="K182" i="3"/>
  <c r="J182" i="3"/>
  <c r="I182" i="3"/>
  <c r="H182" i="3"/>
  <c r="G182" i="3"/>
  <c r="F182" i="3"/>
  <c r="E182" i="3"/>
  <c r="D182" i="3"/>
  <c r="C182" i="3"/>
  <c r="B182" i="3"/>
  <c r="A182" i="3"/>
  <c r="U181" i="3"/>
  <c r="T181" i="3"/>
  <c r="S181" i="3"/>
  <c r="P181" i="3"/>
  <c r="O181" i="3"/>
  <c r="M181" i="3"/>
  <c r="L181" i="3"/>
  <c r="K181" i="3"/>
  <c r="J181" i="3"/>
  <c r="I181" i="3"/>
  <c r="H181" i="3"/>
  <c r="G181" i="3"/>
  <c r="F181" i="3"/>
  <c r="E181" i="3"/>
  <c r="D181" i="3"/>
  <c r="C181" i="3"/>
  <c r="B181" i="3"/>
  <c r="A181" i="3"/>
  <c r="U180" i="3"/>
  <c r="T180" i="3"/>
  <c r="S180" i="3"/>
  <c r="Q180" i="3"/>
  <c r="P180" i="3"/>
  <c r="O180" i="3"/>
  <c r="N180" i="3"/>
  <c r="M180" i="3"/>
  <c r="L180" i="3"/>
  <c r="K180" i="3"/>
  <c r="J180" i="3"/>
  <c r="I180" i="3"/>
  <c r="H180" i="3"/>
  <c r="G180" i="3"/>
  <c r="F180" i="3"/>
  <c r="E180" i="3"/>
  <c r="D180" i="3"/>
  <c r="C180" i="3"/>
  <c r="B180" i="3"/>
  <c r="A180" i="3"/>
  <c r="T179" i="3"/>
  <c r="S179" i="3"/>
  <c r="O179" i="3"/>
  <c r="N179" i="3"/>
  <c r="M179" i="3"/>
  <c r="L179" i="3"/>
  <c r="K179" i="3"/>
  <c r="J179" i="3"/>
  <c r="I179" i="3"/>
  <c r="H179" i="3"/>
  <c r="G179" i="3"/>
  <c r="P179" i="3" s="1"/>
  <c r="Q179" i="3" s="1"/>
  <c r="F179" i="3"/>
  <c r="E179" i="3"/>
  <c r="D179" i="3"/>
  <c r="C179" i="3"/>
  <c r="B179" i="3"/>
  <c r="U179" i="3" s="1"/>
  <c r="A179" i="3"/>
  <c r="U178" i="3"/>
  <c r="T178" i="3"/>
  <c r="S178" i="3"/>
  <c r="P178" i="3"/>
  <c r="Q178" i="3" s="1"/>
  <c r="O178" i="3"/>
  <c r="M178" i="3"/>
  <c r="L178" i="3"/>
  <c r="K178" i="3"/>
  <c r="J178" i="3"/>
  <c r="I178" i="3"/>
  <c r="H178" i="3"/>
  <c r="G178" i="3"/>
  <c r="F178" i="3"/>
  <c r="E178" i="3"/>
  <c r="D178" i="3"/>
  <c r="C178" i="3"/>
  <c r="B178" i="3"/>
  <c r="A178" i="3"/>
  <c r="U177" i="3"/>
  <c r="T177" i="3"/>
  <c r="S177" i="3"/>
  <c r="P177" i="3"/>
  <c r="O177" i="3"/>
  <c r="M177" i="3"/>
  <c r="L177" i="3"/>
  <c r="K177" i="3"/>
  <c r="N177" i="3" s="1"/>
  <c r="R177" i="3" s="1"/>
  <c r="J177" i="3"/>
  <c r="Q177" i="3" s="1"/>
  <c r="I177" i="3"/>
  <c r="H177" i="3"/>
  <c r="G177" i="3"/>
  <c r="F177" i="3"/>
  <c r="E177" i="3"/>
  <c r="D177" i="3"/>
  <c r="C177" i="3"/>
  <c r="B177" i="3"/>
  <c r="A177" i="3"/>
  <c r="U176" i="3"/>
  <c r="T176" i="3"/>
  <c r="S176" i="3"/>
  <c r="Q176" i="3"/>
  <c r="P176" i="3"/>
  <c r="O176" i="3"/>
  <c r="M176" i="3"/>
  <c r="L176" i="3"/>
  <c r="K176" i="3"/>
  <c r="J176" i="3"/>
  <c r="I176" i="3"/>
  <c r="H176" i="3"/>
  <c r="G176" i="3"/>
  <c r="F176" i="3"/>
  <c r="E176" i="3"/>
  <c r="D176" i="3"/>
  <c r="C176" i="3"/>
  <c r="B176" i="3"/>
  <c r="A176" i="3"/>
  <c r="U175" i="3"/>
  <c r="T175" i="3"/>
  <c r="S175" i="3"/>
  <c r="P175" i="3"/>
  <c r="O175" i="3"/>
  <c r="M175" i="3"/>
  <c r="L175" i="3"/>
  <c r="K175" i="3"/>
  <c r="J175" i="3"/>
  <c r="I175" i="3"/>
  <c r="H175" i="3"/>
  <c r="G175" i="3"/>
  <c r="F175" i="3"/>
  <c r="E175" i="3"/>
  <c r="D175" i="3"/>
  <c r="C175" i="3"/>
  <c r="B175" i="3"/>
  <c r="A175" i="3"/>
  <c r="U174" i="3"/>
  <c r="T174" i="3"/>
  <c r="S174" i="3"/>
  <c r="P174" i="3"/>
  <c r="Q174" i="3" s="1"/>
  <c r="O174" i="3"/>
  <c r="N174" i="3"/>
  <c r="M174" i="3"/>
  <c r="L174" i="3"/>
  <c r="K174" i="3"/>
  <c r="J174" i="3"/>
  <c r="I174" i="3"/>
  <c r="H174" i="3"/>
  <c r="G174" i="3"/>
  <c r="F174" i="3"/>
  <c r="E174" i="3"/>
  <c r="D174" i="3"/>
  <c r="C174" i="3"/>
  <c r="B174" i="3"/>
  <c r="A174" i="3"/>
  <c r="T173" i="3"/>
  <c r="S173" i="3"/>
  <c r="Q173" i="3"/>
  <c r="R173" i="3" s="1"/>
  <c r="P173" i="3"/>
  <c r="O173" i="3"/>
  <c r="N173" i="3"/>
  <c r="M173" i="3"/>
  <c r="L173" i="3"/>
  <c r="K173" i="3"/>
  <c r="J173" i="3"/>
  <c r="I173" i="3"/>
  <c r="H173" i="3"/>
  <c r="G173" i="3"/>
  <c r="F173" i="3"/>
  <c r="E173" i="3"/>
  <c r="D173" i="3"/>
  <c r="C173" i="3"/>
  <c r="B173" i="3"/>
  <c r="U173" i="3" s="1"/>
  <c r="A173" i="3"/>
  <c r="U172" i="3"/>
  <c r="T172" i="3"/>
  <c r="S172" i="3"/>
  <c r="P172" i="3"/>
  <c r="Q172" i="3" s="1"/>
  <c r="O172" i="3"/>
  <c r="M172" i="3"/>
  <c r="L172" i="3"/>
  <c r="K172" i="3"/>
  <c r="J172" i="3"/>
  <c r="I172" i="3"/>
  <c r="H172" i="3"/>
  <c r="G172" i="3"/>
  <c r="F172" i="3"/>
  <c r="E172" i="3"/>
  <c r="D172" i="3"/>
  <c r="C172" i="3"/>
  <c r="B172" i="3"/>
  <c r="A172" i="3"/>
  <c r="T171" i="3"/>
  <c r="S171" i="3"/>
  <c r="P171" i="3"/>
  <c r="O171" i="3"/>
  <c r="M171" i="3"/>
  <c r="L171" i="3"/>
  <c r="K171" i="3"/>
  <c r="J171" i="3"/>
  <c r="I171" i="3"/>
  <c r="H171" i="3"/>
  <c r="G171" i="3"/>
  <c r="F171" i="3"/>
  <c r="E171" i="3"/>
  <c r="D171" i="3"/>
  <c r="C171" i="3"/>
  <c r="B171" i="3"/>
  <c r="U171" i="3" s="1"/>
  <c r="A171" i="3"/>
  <c r="U170" i="3"/>
  <c r="T170" i="3"/>
  <c r="S170" i="3"/>
  <c r="Q170" i="3"/>
  <c r="P170" i="3"/>
  <c r="O170" i="3"/>
  <c r="M170" i="3"/>
  <c r="L170" i="3"/>
  <c r="K170" i="3"/>
  <c r="J170" i="3"/>
  <c r="I170" i="3"/>
  <c r="H170" i="3"/>
  <c r="G170" i="3"/>
  <c r="F170" i="3"/>
  <c r="E170" i="3"/>
  <c r="D170" i="3"/>
  <c r="C170" i="3"/>
  <c r="B170" i="3"/>
  <c r="A170" i="3"/>
  <c r="U169" i="3"/>
  <c r="T169" i="3"/>
  <c r="S169" i="3"/>
  <c r="Q169" i="3"/>
  <c r="P169" i="3"/>
  <c r="O169" i="3"/>
  <c r="M169" i="3"/>
  <c r="L169" i="3"/>
  <c r="K169" i="3"/>
  <c r="J169" i="3"/>
  <c r="N169" i="3" s="1"/>
  <c r="R169" i="3" s="1"/>
  <c r="I169" i="3"/>
  <c r="H169" i="3"/>
  <c r="G169" i="3"/>
  <c r="F169" i="3"/>
  <c r="E169" i="3"/>
  <c r="D169" i="3"/>
  <c r="C169" i="3"/>
  <c r="B169" i="3"/>
  <c r="A169" i="3"/>
  <c r="U168" i="3"/>
  <c r="T168" i="3"/>
  <c r="S168" i="3"/>
  <c r="P168" i="3"/>
  <c r="Q168" i="3" s="1"/>
  <c r="O168" i="3"/>
  <c r="N168" i="3"/>
  <c r="M168" i="3"/>
  <c r="L168" i="3"/>
  <c r="K168" i="3"/>
  <c r="J168" i="3"/>
  <c r="I168" i="3"/>
  <c r="H168" i="3"/>
  <c r="G168" i="3"/>
  <c r="F168" i="3"/>
  <c r="E168" i="3"/>
  <c r="D168" i="3"/>
  <c r="C168" i="3"/>
  <c r="B168" i="3"/>
  <c r="A168" i="3"/>
  <c r="T167" i="3"/>
  <c r="S167" i="3"/>
  <c r="R167" i="3"/>
  <c r="Q167" i="3"/>
  <c r="P167" i="3"/>
  <c r="O167" i="3"/>
  <c r="N167" i="3"/>
  <c r="M167" i="3"/>
  <c r="L167" i="3"/>
  <c r="K167" i="3"/>
  <c r="J167" i="3"/>
  <c r="I167" i="3"/>
  <c r="H167" i="3"/>
  <c r="G167" i="3"/>
  <c r="F167" i="3"/>
  <c r="E167" i="3"/>
  <c r="D167" i="3"/>
  <c r="C167" i="3"/>
  <c r="B167" i="3"/>
  <c r="U167" i="3" s="1"/>
  <c r="A167" i="3"/>
  <c r="U166" i="3"/>
  <c r="T166" i="3"/>
  <c r="S166" i="3"/>
  <c r="P166" i="3"/>
  <c r="Q166" i="3" s="1"/>
  <c r="O166" i="3"/>
  <c r="M166" i="3"/>
  <c r="L166" i="3"/>
  <c r="K166" i="3"/>
  <c r="J166" i="3"/>
  <c r="I166" i="3"/>
  <c r="H166" i="3"/>
  <c r="G166" i="3"/>
  <c r="F166" i="3"/>
  <c r="E166" i="3"/>
  <c r="D166" i="3"/>
  <c r="C166" i="3"/>
  <c r="B166" i="3"/>
  <c r="A166" i="3"/>
  <c r="U165" i="3"/>
  <c r="T165" i="3"/>
  <c r="S165" i="3"/>
  <c r="P165" i="3"/>
  <c r="O165" i="3"/>
  <c r="M165" i="3"/>
  <c r="L165" i="3"/>
  <c r="K165" i="3"/>
  <c r="N165" i="3" s="1"/>
  <c r="R165" i="3" s="1"/>
  <c r="J165" i="3"/>
  <c r="Q165" i="3" s="1"/>
  <c r="I165" i="3"/>
  <c r="H165" i="3"/>
  <c r="G165" i="3"/>
  <c r="F165" i="3"/>
  <c r="E165" i="3"/>
  <c r="D165" i="3"/>
  <c r="C165" i="3"/>
  <c r="B165" i="3"/>
  <c r="A165" i="3"/>
  <c r="U164" i="3"/>
  <c r="T164" i="3"/>
  <c r="S164" i="3"/>
  <c r="Q164" i="3"/>
  <c r="P164" i="3"/>
  <c r="O164" i="3"/>
  <c r="M164" i="3"/>
  <c r="L164" i="3"/>
  <c r="K164" i="3"/>
  <c r="N164" i="3" s="1"/>
  <c r="R164" i="3" s="1"/>
  <c r="J164" i="3"/>
  <c r="I164" i="3"/>
  <c r="H164" i="3"/>
  <c r="G164" i="3"/>
  <c r="F164" i="3"/>
  <c r="E164" i="3"/>
  <c r="D164" i="3"/>
  <c r="C164" i="3"/>
  <c r="B164" i="3"/>
  <c r="A164" i="3"/>
  <c r="U163" i="3"/>
  <c r="T163" i="3"/>
  <c r="S163" i="3"/>
  <c r="Q163" i="3"/>
  <c r="O163" i="3"/>
  <c r="M163" i="3"/>
  <c r="L163" i="3"/>
  <c r="K163" i="3"/>
  <c r="J163" i="3"/>
  <c r="I163" i="3"/>
  <c r="H163" i="3"/>
  <c r="G163" i="3"/>
  <c r="P163" i="3" s="1"/>
  <c r="F163" i="3"/>
  <c r="E163" i="3"/>
  <c r="D163" i="3"/>
  <c r="C163" i="3"/>
  <c r="B163" i="3"/>
  <c r="A163" i="3"/>
  <c r="U162" i="3"/>
  <c r="T162" i="3"/>
  <c r="S162" i="3"/>
  <c r="P162" i="3"/>
  <c r="Q162" i="3" s="1"/>
  <c r="O162" i="3"/>
  <c r="N162" i="3"/>
  <c r="M162" i="3"/>
  <c r="L162" i="3"/>
  <c r="K162" i="3"/>
  <c r="J162" i="3"/>
  <c r="I162" i="3"/>
  <c r="H162" i="3"/>
  <c r="G162" i="3"/>
  <c r="F162" i="3"/>
  <c r="E162" i="3"/>
  <c r="D162" i="3"/>
  <c r="C162" i="3"/>
  <c r="B162" i="3"/>
  <c r="A162" i="3"/>
  <c r="T161" i="3"/>
  <c r="S161" i="3"/>
  <c r="Q161" i="3"/>
  <c r="R161" i="3" s="1"/>
  <c r="P161" i="3"/>
  <c r="O161" i="3"/>
  <c r="N161" i="3"/>
  <c r="M161" i="3"/>
  <c r="L161" i="3"/>
  <c r="K161" i="3"/>
  <c r="J161" i="3"/>
  <c r="I161" i="3"/>
  <c r="H161" i="3"/>
  <c r="G161" i="3"/>
  <c r="F161" i="3"/>
  <c r="E161" i="3"/>
  <c r="D161" i="3"/>
  <c r="C161" i="3"/>
  <c r="B161" i="3"/>
  <c r="U161" i="3" s="1"/>
  <c r="A161" i="3"/>
  <c r="U160" i="3"/>
  <c r="T160" i="3"/>
  <c r="S160" i="3"/>
  <c r="Q160" i="3"/>
  <c r="P160" i="3"/>
  <c r="O160" i="3"/>
  <c r="M160" i="3"/>
  <c r="L160" i="3"/>
  <c r="K160" i="3"/>
  <c r="J160" i="3"/>
  <c r="I160" i="3"/>
  <c r="H160" i="3"/>
  <c r="G160" i="3"/>
  <c r="F160" i="3"/>
  <c r="E160" i="3"/>
  <c r="D160" i="3"/>
  <c r="C160" i="3"/>
  <c r="B160" i="3"/>
  <c r="A160" i="3"/>
  <c r="T159" i="3"/>
  <c r="S159" i="3"/>
  <c r="O159" i="3"/>
  <c r="N159" i="3"/>
  <c r="M159" i="3"/>
  <c r="L159" i="3"/>
  <c r="K159" i="3"/>
  <c r="J159" i="3"/>
  <c r="I159" i="3"/>
  <c r="H159" i="3"/>
  <c r="G159" i="3"/>
  <c r="P159" i="3" s="1"/>
  <c r="F159" i="3"/>
  <c r="E159" i="3"/>
  <c r="D159" i="3"/>
  <c r="C159" i="3"/>
  <c r="B159" i="3"/>
  <c r="U159" i="3" s="1"/>
  <c r="A159" i="3"/>
  <c r="U158" i="3"/>
  <c r="T158" i="3"/>
  <c r="S158" i="3"/>
  <c r="Q158" i="3"/>
  <c r="P158" i="3"/>
  <c r="O158" i="3"/>
  <c r="M158" i="3"/>
  <c r="L158" i="3"/>
  <c r="K158" i="3"/>
  <c r="N158" i="3" s="1"/>
  <c r="R158" i="3" s="1"/>
  <c r="J158" i="3"/>
  <c r="I158" i="3"/>
  <c r="H158" i="3"/>
  <c r="G158" i="3"/>
  <c r="F158" i="3"/>
  <c r="E158" i="3"/>
  <c r="D158" i="3"/>
  <c r="C158" i="3"/>
  <c r="B158" i="3"/>
  <c r="A158" i="3"/>
  <c r="U157" i="3"/>
  <c r="T157" i="3"/>
  <c r="S157" i="3"/>
  <c r="Q157" i="3"/>
  <c r="P157" i="3"/>
  <c r="O157" i="3"/>
  <c r="M157" i="3"/>
  <c r="L157" i="3"/>
  <c r="K157" i="3"/>
  <c r="J157" i="3"/>
  <c r="I157" i="3"/>
  <c r="H157" i="3"/>
  <c r="G157" i="3"/>
  <c r="F157" i="3"/>
  <c r="E157" i="3"/>
  <c r="D157" i="3"/>
  <c r="C157" i="3"/>
  <c r="B157" i="3"/>
  <c r="A157" i="3"/>
  <c r="U156" i="3"/>
  <c r="T156" i="3"/>
  <c r="S156" i="3"/>
  <c r="P156" i="3"/>
  <c r="Q156" i="3" s="1"/>
  <c r="O156" i="3"/>
  <c r="N156" i="3"/>
  <c r="R156" i="3" s="1"/>
  <c r="M156" i="3"/>
  <c r="L156" i="3"/>
  <c r="K156" i="3"/>
  <c r="J156" i="3"/>
  <c r="I156" i="3"/>
  <c r="H156" i="3"/>
  <c r="G156" i="3"/>
  <c r="F156" i="3"/>
  <c r="E156" i="3"/>
  <c r="D156" i="3"/>
  <c r="C156" i="3"/>
  <c r="B156" i="3"/>
  <c r="A156" i="3"/>
  <c r="T155" i="3"/>
  <c r="S155" i="3"/>
  <c r="Q155" i="3"/>
  <c r="R155" i="3" s="1"/>
  <c r="O155" i="3"/>
  <c r="N155" i="3"/>
  <c r="M155" i="3"/>
  <c r="L155" i="3"/>
  <c r="K155" i="3"/>
  <c r="J155" i="3"/>
  <c r="I155" i="3"/>
  <c r="H155" i="3"/>
  <c r="G155" i="3"/>
  <c r="P155" i="3" s="1"/>
  <c r="F155" i="3"/>
  <c r="E155" i="3"/>
  <c r="D155" i="3"/>
  <c r="C155" i="3"/>
  <c r="B155" i="3"/>
  <c r="U155" i="3" s="1"/>
  <c r="A155" i="3"/>
  <c r="U154" i="3"/>
  <c r="T154" i="3"/>
  <c r="S154" i="3"/>
  <c r="P154" i="3"/>
  <c r="Q154" i="3" s="1"/>
  <c r="O154" i="3"/>
  <c r="M154" i="3"/>
  <c r="L154" i="3"/>
  <c r="K154" i="3"/>
  <c r="J154" i="3"/>
  <c r="I154" i="3"/>
  <c r="H154" i="3"/>
  <c r="G154" i="3"/>
  <c r="F154" i="3"/>
  <c r="E154" i="3"/>
  <c r="D154" i="3"/>
  <c r="C154" i="3"/>
  <c r="B154" i="3"/>
  <c r="A154" i="3"/>
  <c r="T153" i="3"/>
  <c r="S153" i="3"/>
  <c r="P153" i="3"/>
  <c r="O153" i="3"/>
  <c r="N153" i="3"/>
  <c r="R153" i="3" s="1"/>
  <c r="M153" i="3"/>
  <c r="L153" i="3"/>
  <c r="K153" i="3"/>
  <c r="J153" i="3"/>
  <c r="Q153" i="3" s="1"/>
  <c r="I153" i="3"/>
  <c r="H153" i="3"/>
  <c r="G153" i="3"/>
  <c r="F153" i="3"/>
  <c r="E153" i="3"/>
  <c r="D153" i="3"/>
  <c r="C153" i="3"/>
  <c r="B153" i="3"/>
  <c r="U153" i="3" s="1"/>
  <c r="A153" i="3"/>
  <c r="U152" i="3"/>
  <c r="T152" i="3"/>
  <c r="S152" i="3"/>
  <c r="Q152" i="3"/>
  <c r="P152" i="3"/>
  <c r="O152" i="3"/>
  <c r="M152" i="3"/>
  <c r="L152" i="3"/>
  <c r="K152" i="3"/>
  <c r="N152" i="3" s="1"/>
  <c r="R152" i="3" s="1"/>
  <c r="J152" i="3"/>
  <c r="I152" i="3"/>
  <c r="H152" i="3"/>
  <c r="G152" i="3"/>
  <c r="F152" i="3"/>
  <c r="E152" i="3"/>
  <c r="D152" i="3"/>
  <c r="C152" i="3"/>
  <c r="B152" i="3"/>
  <c r="A152" i="3"/>
  <c r="U151" i="3"/>
  <c r="T151" i="3"/>
  <c r="S151" i="3"/>
  <c r="P151" i="3"/>
  <c r="O151" i="3"/>
  <c r="M151" i="3"/>
  <c r="L151" i="3"/>
  <c r="K151" i="3"/>
  <c r="J151" i="3"/>
  <c r="N151" i="3" s="1"/>
  <c r="I151" i="3"/>
  <c r="H151" i="3"/>
  <c r="G151" i="3"/>
  <c r="F151" i="3"/>
  <c r="E151" i="3"/>
  <c r="D151" i="3"/>
  <c r="C151" i="3"/>
  <c r="B151" i="3"/>
  <c r="A151" i="3"/>
  <c r="U150" i="3"/>
  <c r="T150" i="3"/>
  <c r="S150" i="3"/>
  <c r="Q150" i="3"/>
  <c r="P150" i="3"/>
  <c r="O150" i="3"/>
  <c r="N150" i="3"/>
  <c r="M150" i="3"/>
  <c r="L150" i="3"/>
  <c r="K150" i="3"/>
  <c r="J150" i="3"/>
  <c r="I150" i="3"/>
  <c r="H150" i="3"/>
  <c r="G150" i="3"/>
  <c r="F150" i="3"/>
  <c r="E150" i="3"/>
  <c r="D150" i="3"/>
  <c r="C150" i="3"/>
  <c r="B150" i="3"/>
  <c r="A150" i="3"/>
  <c r="T149" i="3"/>
  <c r="S149" i="3"/>
  <c r="Q149" i="3"/>
  <c r="P149" i="3"/>
  <c r="O149" i="3"/>
  <c r="N149" i="3"/>
  <c r="R149" i="3" s="1"/>
  <c r="M149" i="3"/>
  <c r="L149" i="3"/>
  <c r="K149" i="3"/>
  <c r="J149" i="3"/>
  <c r="I149" i="3"/>
  <c r="H149" i="3"/>
  <c r="G149" i="3"/>
  <c r="F149" i="3"/>
  <c r="E149" i="3"/>
  <c r="D149" i="3"/>
  <c r="C149" i="3"/>
  <c r="B149" i="3"/>
  <c r="U149" i="3" s="1"/>
  <c r="A149" i="3"/>
  <c r="U148" i="3"/>
  <c r="T148" i="3"/>
  <c r="S148" i="3"/>
  <c r="P148" i="3"/>
  <c r="Q148" i="3" s="1"/>
  <c r="O148" i="3"/>
  <c r="M148" i="3"/>
  <c r="L148" i="3"/>
  <c r="K148" i="3"/>
  <c r="J148" i="3"/>
  <c r="I148" i="3"/>
  <c r="H148" i="3"/>
  <c r="G148" i="3"/>
  <c r="F148" i="3"/>
  <c r="E148" i="3"/>
  <c r="D148" i="3"/>
  <c r="C148" i="3"/>
  <c r="B148" i="3"/>
  <c r="A148" i="3"/>
  <c r="U147" i="3"/>
  <c r="T147" i="3"/>
  <c r="S147" i="3"/>
  <c r="P147" i="3"/>
  <c r="O147" i="3"/>
  <c r="M147" i="3"/>
  <c r="L147" i="3"/>
  <c r="K147" i="3"/>
  <c r="N147" i="3" s="1"/>
  <c r="R147" i="3" s="1"/>
  <c r="J147" i="3"/>
  <c r="Q147" i="3" s="1"/>
  <c r="I147" i="3"/>
  <c r="H147" i="3"/>
  <c r="G147" i="3"/>
  <c r="F147" i="3"/>
  <c r="E147" i="3"/>
  <c r="D147" i="3"/>
  <c r="C147" i="3"/>
  <c r="B147" i="3"/>
  <c r="A147" i="3"/>
  <c r="U146" i="3"/>
  <c r="T146" i="3"/>
  <c r="S146" i="3"/>
  <c r="Q146" i="3"/>
  <c r="P146" i="3"/>
  <c r="O146" i="3"/>
  <c r="M146" i="3"/>
  <c r="L146" i="3"/>
  <c r="K146" i="3"/>
  <c r="J146" i="3"/>
  <c r="I146" i="3"/>
  <c r="H146" i="3"/>
  <c r="G146" i="3"/>
  <c r="F146" i="3"/>
  <c r="E146" i="3"/>
  <c r="D146" i="3"/>
  <c r="C146" i="3"/>
  <c r="B146" i="3"/>
  <c r="A146" i="3"/>
  <c r="U145" i="3"/>
  <c r="T145" i="3"/>
  <c r="S145" i="3"/>
  <c r="P145" i="3"/>
  <c r="O145" i="3"/>
  <c r="M145" i="3"/>
  <c r="L145" i="3"/>
  <c r="K145" i="3"/>
  <c r="J145" i="3"/>
  <c r="I145" i="3"/>
  <c r="H145" i="3"/>
  <c r="G145" i="3"/>
  <c r="F145" i="3"/>
  <c r="E145" i="3"/>
  <c r="D145" i="3"/>
  <c r="C145" i="3"/>
  <c r="B145" i="3"/>
  <c r="A145" i="3"/>
  <c r="U144" i="3"/>
  <c r="T144" i="3"/>
  <c r="S144" i="3"/>
  <c r="P144" i="3"/>
  <c r="Q144" i="3" s="1"/>
  <c r="O144" i="3"/>
  <c r="N144" i="3"/>
  <c r="M144" i="3"/>
  <c r="L144" i="3"/>
  <c r="K144" i="3"/>
  <c r="J144" i="3"/>
  <c r="I144" i="3"/>
  <c r="H144" i="3"/>
  <c r="G144" i="3"/>
  <c r="F144" i="3"/>
  <c r="E144" i="3"/>
  <c r="D144" i="3"/>
  <c r="C144" i="3"/>
  <c r="B144" i="3"/>
  <c r="A144" i="3"/>
  <c r="T143" i="3"/>
  <c r="S143" i="3"/>
  <c r="Q143" i="3"/>
  <c r="R143" i="3" s="1"/>
  <c r="P143" i="3"/>
  <c r="O143" i="3"/>
  <c r="N143" i="3"/>
  <c r="M143" i="3"/>
  <c r="L143" i="3"/>
  <c r="K143" i="3"/>
  <c r="J143" i="3"/>
  <c r="I143" i="3"/>
  <c r="H143" i="3"/>
  <c r="G143" i="3"/>
  <c r="F143" i="3"/>
  <c r="E143" i="3"/>
  <c r="D143" i="3"/>
  <c r="C143" i="3"/>
  <c r="B143" i="3"/>
  <c r="U143" i="3" s="1"/>
  <c r="A143" i="3"/>
  <c r="U142" i="3"/>
  <c r="T142" i="3"/>
  <c r="S142" i="3"/>
  <c r="P142" i="3"/>
  <c r="Q142" i="3" s="1"/>
  <c r="O142" i="3"/>
  <c r="M142" i="3"/>
  <c r="L142" i="3"/>
  <c r="K142" i="3"/>
  <c r="J142" i="3"/>
  <c r="I142" i="3"/>
  <c r="H142" i="3"/>
  <c r="G142" i="3"/>
  <c r="F142" i="3"/>
  <c r="E142" i="3"/>
  <c r="D142" i="3"/>
  <c r="C142" i="3"/>
  <c r="B142" i="3"/>
  <c r="A142" i="3"/>
  <c r="T141" i="3"/>
  <c r="S141" i="3"/>
  <c r="P141" i="3"/>
  <c r="O141" i="3"/>
  <c r="M141" i="3"/>
  <c r="L141" i="3"/>
  <c r="K141" i="3"/>
  <c r="J141" i="3"/>
  <c r="I141" i="3"/>
  <c r="H141" i="3"/>
  <c r="G141" i="3"/>
  <c r="F141" i="3"/>
  <c r="E141" i="3"/>
  <c r="D141" i="3"/>
  <c r="C141" i="3"/>
  <c r="B141" i="3"/>
  <c r="U141" i="3" s="1"/>
  <c r="A141" i="3"/>
  <c r="U140" i="3"/>
  <c r="T140" i="3"/>
  <c r="S140" i="3"/>
  <c r="Q140" i="3"/>
  <c r="P140" i="3"/>
  <c r="O140" i="3"/>
  <c r="M140" i="3"/>
  <c r="L140" i="3"/>
  <c r="K140" i="3"/>
  <c r="J140" i="3"/>
  <c r="I140" i="3"/>
  <c r="H140" i="3"/>
  <c r="G140" i="3"/>
  <c r="F140" i="3"/>
  <c r="E140" i="3"/>
  <c r="D140" i="3"/>
  <c r="C140" i="3"/>
  <c r="B140" i="3"/>
  <c r="A140" i="3"/>
  <c r="U139" i="3"/>
  <c r="T139" i="3"/>
  <c r="S139" i="3"/>
  <c r="Q139" i="3"/>
  <c r="P139" i="3"/>
  <c r="O139" i="3"/>
  <c r="M139" i="3"/>
  <c r="L139" i="3"/>
  <c r="K139" i="3"/>
  <c r="J139" i="3"/>
  <c r="N139" i="3" s="1"/>
  <c r="R139" i="3" s="1"/>
  <c r="I139" i="3"/>
  <c r="H139" i="3"/>
  <c r="G139" i="3"/>
  <c r="F139" i="3"/>
  <c r="E139" i="3"/>
  <c r="D139" i="3"/>
  <c r="C139" i="3"/>
  <c r="B139" i="3"/>
  <c r="A139" i="3"/>
  <c r="U138" i="3"/>
  <c r="T138" i="3"/>
  <c r="S138" i="3"/>
  <c r="P138" i="3"/>
  <c r="Q138" i="3" s="1"/>
  <c r="O138" i="3"/>
  <c r="N138" i="3"/>
  <c r="M138" i="3"/>
  <c r="L138" i="3"/>
  <c r="K138" i="3"/>
  <c r="J138" i="3"/>
  <c r="I138" i="3"/>
  <c r="H138" i="3"/>
  <c r="G138" i="3"/>
  <c r="F138" i="3"/>
  <c r="E138" i="3"/>
  <c r="D138" i="3"/>
  <c r="C138" i="3"/>
  <c r="B138" i="3"/>
  <c r="A138" i="3"/>
  <c r="T137" i="3"/>
  <c r="S137" i="3"/>
  <c r="R137" i="3"/>
  <c r="Q137" i="3"/>
  <c r="P137" i="3"/>
  <c r="O137" i="3"/>
  <c r="N137" i="3"/>
  <c r="M137" i="3"/>
  <c r="L137" i="3"/>
  <c r="K137" i="3"/>
  <c r="J137" i="3"/>
  <c r="I137" i="3"/>
  <c r="H137" i="3"/>
  <c r="G137" i="3"/>
  <c r="F137" i="3"/>
  <c r="E137" i="3"/>
  <c r="D137" i="3"/>
  <c r="C137" i="3"/>
  <c r="B137" i="3"/>
  <c r="U137" i="3" s="1"/>
  <c r="A137" i="3"/>
  <c r="U136" i="3"/>
  <c r="T136" i="3"/>
  <c r="S136" i="3"/>
  <c r="P136" i="3"/>
  <c r="Q136" i="3" s="1"/>
  <c r="O136" i="3"/>
  <c r="M136" i="3"/>
  <c r="L136" i="3"/>
  <c r="K136" i="3"/>
  <c r="J136" i="3"/>
  <c r="I136" i="3"/>
  <c r="H136" i="3"/>
  <c r="G136" i="3"/>
  <c r="F136" i="3"/>
  <c r="E136" i="3"/>
  <c r="D136" i="3"/>
  <c r="C136" i="3"/>
  <c r="B136" i="3"/>
  <c r="A136" i="3"/>
  <c r="U135" i="3"/>
  <c r="T135" i="3"/>
  <c r="S135" i="3"/>
  <c r="P135" i="3"/>
  <c r="O135" i="3"/>
  <c r="M135" i="3"/>
  <c r="L135" i="3"/>
  <c r="K135" i="3"/>
  <c r="J135" i="3"/>
  <c r="Q135" i="3" s="1"/>
  <c r="I135" i="3"/>
  <c r="H135" i="3"/>
  <c r="G135" i="3"/>
  <c r="F135" i="3"/>
  <c r="E135" i="3"/>
  <c r="D135" i="3"/>
  <c r="C135" i="3"/>
  <c r="B135" i="3"/>
  <c r="A135" i="3"/>
  <c r="U134" i="3"/>
  <c r="T134" i="3"/>
  <c r="S134" i="3"/>
  <c r="Q134" i="3"/>
  <c r="P134" i="3"/>
  <c r="O134" i="3"/>
  <c r="M134" i="3"/>
  <c r="L134" i="3"/>
  <c r="K134" i="3"/>
  <c r="N134" i="3" s="1"/>
  <c r="R134" i="3" s="1"/>
  <c r="J134" i="3"/>
  <c r="I134" i="3"/>
  <c r="H134" i="3"/>
  <c r="G134" i="3"/>
  <c r="F134" i="3"/>
  <c r="E134" i="3"/>
  <c r="D134" i="3"/>
  <c r="C134" i="3"/>
  <c r="B134" i="3"/>
  <c r="A134" i="3"/>
  <c r="U133" i="3"/>
  <c r="T133" i="3"/>
  <c r="S133" i="3"/>
  <c r="Q133" i="3"/>
  <c r="P133" i="3"/>
  <c r="O133" i="3"/>
  <c r="M133" i="3"/>
  <c r="L133" i="3"/>
  <c r="K133" i="3"/>
  <c r="J133" i="3"/>
  <c r="I133" i="3"/>
  <c r="H133" i="3"/>
  <c r="G133" i="3"/>
  <c r="F133" i="3"/>
  <c r="E133" i="3"/>
  <c r="D133" i="3"/>
  <c r="C133" i="3"/>
  <c r="B133" i="3"/>
  <c r="A133" i="3"/>
  <c r="T132" i="3"/>
  <c r="S132" i="3"/>
  <c r="P132" i="3"/>
  <c r="Q132" i="3" s="1"/>
  <c r="O132" i="3"/>
  <c r="N132" i="3"/>
  <c r="M132" i="3"/>
  <c r="L132" i="3"/>
  <c r="K132" i="3"/>
  <c r="J132" i="3"/>
  <c r="I132" i="3"/>
  <c r="H132" i="3"/>
  <c r="G132" i="3"/>
  <c r="F132" i="3"/>
  <c r="E132" i="3"/>
  <c r="D132" i="3"/>
  <c r="C132" i="3"/>
  <c r="B132" i="3"/>
  <c r="U132" i="3" s="1"/>
  <c r="A132" i="3"/>
  <c r="T131" i="3"/>
  <c r="S131" i="3"/>
  <c r="Q131" i="3"/>
  <c r="P131" i="3"/>
  <c r="O131" i="3"/>
  <c r="M131" i="3"/>
  <c r="L131" i="3"/>
  <c r="N131" i="3" s="1"/>
  <c r="R131" i="3" s="1"/>
  <c r="K131" i="3"/>
  <c r="J131" i="3"/>
  <c r="I131" i="3"/>
  <c r="H131" i="3"/>
  <c r="G131" i="3"/>
  <c r="F131" i="3"/>
  <c r="E131" i="3"/>
  <c r="D131" i="3"/>
  <c r="C131" i="3"/>
  <c r="B131" i="3"/>
  <c r="U131" i="3" s="1"/>
  <c r="A131" i="3"/>
  <c r="U130" i="3"/>
  <c r="T130" i="3"/>
  <c r="S130" i="3"/>
  <c r="P130" i="3"/>
  <c r="O130" i="3"/>
  <c r="M130" i="3"/>
  <c r="L130" i="3"/>
  <c r="K130" i="3"/>
  <c r="J130" i="3"/>
  <c r="N130" i="3" s="1"/>
  <c r="I130" i="3"/>
  <c r="H130" i="3"/>
  <c r="G130" i="3"/>
  <c r="F130" i="3"/>
  <c r="E130" i="3"/>
  <c r="D130" i="3"/>
  <c r="C130" i="3"/>
  <c r="B130" i="3"/>
  <c r="A130" i="3"/>
  <c r="T129" i="3"/>
  <c r="S129" i="3"/>
  <c r="O129" i="3"/>
  <c r="N129" i="3"/>
  <c r="R129" i="3" s="1"/>
  <c r="M129" i="3"/>
  <c r="L129" i="3"/>
  <c r="K129" i="3"/>
  <c r="J129" i="3"/>
  <c r="Q129" i="3" s="1"/>
  <c r="I129" i="3"/>
  <c r="H129" i="3"/>
  <c r="G129" i="3"/>
  <c r="P129" i="3" s="1"/>
  <c r="F129" i="3"/>
  <c r="E129" i="3"/>
  <c r="D129" i="3"/>
  <c r="C129" i="3"/>
  <c r="B129" i="3"/>
  <c r="U129" i="3" s="1"/>
  <c r="A129" i="3"/>
  <c r="U128" i="3"/>
  <c r="T128" i="3"/>
  <c r="S128" i="3"/>
  <c r="O128" i="3"/>
  <c r="M128" i="3"/>
  <c r="L128" i="3"/>
  <c r="K128" i="3"/>
  <c r="N128" i="3" s="1"/>
  <c r="R128" i="3" s="1"/>
  <c r="J128" i="3"/>
  <c r="I128" i="3"/>
  <c r="H128" i="3"/>
  <c r="G128" i="3"/>
  <c r="P128" i="3" s="1"/>
  <c r="Q128" i="3" s="1"/>
  <c r="F128" i="3"/>
  <c r="E128" i="3"/>
  <c r="D128" i="3"/>
  <c r="C128" i="3"/>
  <c r="B128" i="3"/>
  <c r="A128" i="3"/>
  <c r="U127" i="3"/>
  <c r="T127" i="3"/>
  <c r="S127" i="3"/>
  <c r="P127" i="3"/>
  <c r="Q127" i="3" s="1"/>
  <c r="R127" i="3" s="1"/>
  <c r="O127" i="3"/>
  <c r="M127" i="3"/>
  <c r="L127" i="3"/>
  <c r="K127" i="3"/>
  <c r="J127" i="3"/>
  <c r="N127" i="3" s="1"/>
  <c r="I127" i="3"/>
  <c r="H127" i="3"/>
  <c r="G127" i="3"/>
  <c r="F127" i="3"/>
  <c r="E127" i="3"/>
  <c r="D127" i="3"/>
  <c r="C127" i="3"/>
  <c r="B127" i="3"/>
  <c r="A127" i="3"/>
  <c r="T126" i="3"/>
  <c r="S126" i="3"/>
  <c r="Q126" i="3"/>
  <c r="P126" i="3"/>
  <c r="O126" i="3"/>
  <c r="N126" i="3"/>
  <c r="M126" i="3"/>
  <c r="L126" i="3"/>
  <c r="K126" i="3"/>
  <c r="J126" i="3"/>
  <c r="I126" i="3"/>
  <c r="H126" i="3"/>
  <c r="G126" i="3"/>
  <c r="F126" i="3"/>
  <c r="E126" i="3"/>
  <c r="D126" i="3"/>
  <c r="C126" i="3"/>
  <c r="B126" i="3"/>
  <c r="U126" i="3" s="1"/>
  <c r="A126" i="3"/>
  <c r="T125" i="3"/>
  <c r="S125" i="3"/>
  <c r="Q125" i="3"/>
  <c r="P125" i="3"/>
  <c r="O125" i="3"/>
  <c r="N125" i="3"/>
  <c r="R125" i="3" s="1"/>
  <c r="M125" i="3"/>
  <c r="L125" i="3"/>
  <c r="K125" i="3"/>
  <c r="J125" i="3"/>
  <c r="I125" i="3"/>
  <c r="H125" i="3"/>
  <c r="G125" i="3"/>
  <c r="F125" i="3"/>
  <c r="E125" i="3"/>
  <c r="D125" i="3"/>
  <c r="C125" i="3"/>
  <c r="B125" i="3"/>
  <c r="U125" i="3" s="1"/>
  <c r="A125" i="3"/>
  <c r="U124" i="3"/>
  <c r="T124" i="3"/>
  <c r="S124" i="3"/>
  <c r="P124" i="3"/>
  <c r="O124" i="3"/>
  <c r="M124" i="3"/>
  <c r="L124" i="3"/>
  <c r="K124" i="3"/>
  <c r="J124" i="3"/>
  <c r="I124" i="3"/>
  <c r="H124" i="3"/>
  <c r="G124" i="3"/>
  <c r="F124" i="3"/>
  <c r="E124" i="3"/>
  <c r="D124" i="3"/>
  <c r="C124" i="3"/>
  <c r="B124" i="3"/>
  <c r="A124" i="3"/>
  <c r="U123" i="3"/>
  <c r="T123" i="3"/>
  <c r="S123" i="3"/>
  <c r="P123" i="3"/>
  <c r="O123" i="3"/>
  <c r="M123" i="3"/>
  <c r="L123" i="3"/>
  <c r="K123" i="3"/>
  <c r="J123" i="3"/>
  <c r="Q123" i="3" s="1"/>
  <c r="I123" i="3"/>
  <c r="H123" i="3"/>
  <c r="G123" i="3"/>
  <c r="F123" i="3"/>
  <c r="E123" i="3"/>
  <c r="D123" i="3"/>
  <c r="C123" i="3"/>
  <c r="B123" i="3"/>
  <c r="A123" i="3"/>
  <c r="U122" i="3"/>
  <c r="T122" i="3"/>
  <c r="S122" i="3"/>
  <c r="Q122" i="3"/>
  <c r="P122" i="3"/>
  <c r="O122" i="3"/>
  <c r="M122" i="3"/>
  <c r="L122" i="3"/>
  <c r="K122" i="3"/>
  <c r="J122" i="3"/>
  <c r="I122" i="3"/>
  <c r="H122" i="3"/>
  <c r="G122" i="3"/>
  <c r="F122" i="3"/>
  <c r="E122" i="3"/>
  <c r="D122" i="3"/>
  <c r="C122" i="3"/>
  <c r="B122" i="3"/>
  <c r="A122" i="3"/>
  <c r="U121" i="3"/>
  <c r="T121" i="3"/>
  <c r="S121" i="3"/>
  <c r="P121" i="3"/>
  <c r="O121" i="3"/>
  <c r="M121" i="3"/>
  <c r="L121" i="3"/>
  <c r="K121" i="3"/>
  <c r="J121" i="3"/>
  <c r="I121" i="3"/>
  <c r="H121" i="3"/>
  <c r="G121" i="3"/>
  <c r="F121" i="3"/>
  <c r="E121" i="3"/>
  <c r="D121" i="3"/>
  <c r="C121" i="3"/>
  <c r="B121" i="3"/>
  <c r="A121" i="3"/>
  <c r="U120" i="3"/>
  <c r="T120" i="3"/>
  <c r="S120" i="3"/>
  <c r="P120" i="3"/>
  <c r="Q120" i="3" s="1"/>
  <c r="O120" i="3"/>
  <c r="N120" i="3"/>
  <c r="M120" i="3"/>
  <c r="L120" i="3"/>
  <c r="K120" i="3"/>
  <c r="J120" i="3"/>
  <c r="I120" i="3"/>
  <c r="H120" i="3"/>
  <c r="G120" i="3"/>
  <c r="F120" i="3"/>
  <c r="E120" i="3"/>
  <c r="D120" i="3"/>
  <c r="C120" i="3"/>
  <c r="B120" i="3"/>
  <c r="A120" i="3"/>
  <c r="T119" i="3"/>
  <c r="S119" i="3"/>
  <c r="Q119" i="3"/>
  <c r="R119" i="3" s="1"/>
  <c r="P119" i="3"/>
  <c r="O119" i="3"/>
  <c r="M119" i="3"/>
  <c r="L119" i="3"/>
  <c r="K119" i="3"/>
  <c r="N119" i="3" s="1"/>
  <c r="J119" i="3"/>
  <c r="I119" i="3"/>
  <c r="H119" i="3"/>
  <c r="G119" i="3"/>
  <c r="F119" i="3"/>
  <c r="E119" i="3"/>
  <c r="D119" i="3"/>
  <c r="C119" i="3"/>
  <c r="B119" i="3"/>
  <c r="U119" i="3" s="1"/>
  <c r="A119" i="3"/>
  <c r="U118" i="3"/>
  <c r="T118" i="3"/>
  <c r="S118" i="3"/>
  <c r="P118" i="3"/>
  <c r="O118" i="3"/>
  <c r="M118" i="3"/>
  <c r="L118" i="3"/>
  <c r="K118" i="3"/>
  <c r="J118" i="3"/>
  <c r="I118" i="3"/>
  <c r="H118" i="3"/>
  <c r="G118" i="3"/>
  <c r="F118" i="3"/>
  <c r="E118" i="3"/>
  <c r="D118" i="3"/>
  <c r="C118" i="3"/>
  <c r="B118" i="3"/>
  <c r="A118" i="3"/>
  <c r="T117" i="3"/>
  <c r="S117" i="3"/>
  <c r="P117" i="3"/>
  <c r="O117" i="3"/>
  <c r="M117" i="3"/>
  <c r="L117" i="3"/>
  <c r="K117" i="3"/>
  <c r="J117" i="3"/>
  <c r="I117" i="3"/>
  <c r="H117" i="3"/>
  <c r="G117" i="3"/>
  <c r="F117" i="3"/>
  <c r="E117" i="3"/>
  <c r="D117" i="3"/>
  <c r="C117" i="3"/>
  <c r="B117" i="3"/>
  <c r="U117" i="3" s="1"/>
  <c r="A117" i="3"/>
  <c r="U116" i="3"/>
  <c r="T116" i="3"/>
  <c r="S116" i="3"/>
  <c r="R116" i="3"/>
  <c r="Q116" i="3"/>
  <c r="P116" i="3"/>
  <c r="O116" i="3"/>
  <c r="M116" i="3"/>
  <c r="L116" i="3"/>
  <c r="K116" i="3"/>
  <c r="N116" i="3" s="1"/>
  <c r="J116" i="3"/>
  <c r="I116" i="3"/>
  <c r="H116" i="3"/>
  <c r="G116" i="3"/>
  <c r="F116" i="3"/>
  <c r="E116" i="3"/>
  <c r="D116" i="3"/>
  <c r="C116" i="3"/>
  <c r="B116" i="3"/>
  <c r="A116" i="3"/>
  <c r="U115" i="3"/>
  <c r="T115" i="3"/>
  <c r="S115" i="3"/>
  <c r="Q115" i="3"/>
  <c r="P115" i="3"/>
  <c r="O115" i="3"/>
  <c r="M115" i="3"/>
  <c r="L115" i="3"/>
  <c r="K115" i="3"/>
  <c r="J115" i="3"/>
  <c r="N115" i="3" s="1"/>
  <c r="R115" i="3" s="1"/>
  <c r="I115" i="3"/>
  <c r="H115" i="3"/>
  <c r="G115" i="3"/>
  <c r="F115" i="3"/>
  <c r="E115" i="3"/>
  <c r="D115" i="3"/>
  <c r="C115" i="3"/>
  <c r="B115" i="3"/>
  <c r="A115" i="3"/>
  <c r="T114" i="3"/>
  <c r="S114" i="3"/>
  <c r="Q114" i="3"/>
  <c r="P114" i="3"/>
  <c r="O114" i="3"/>
  <c r="N114" i="3"/>
  <c r="M114" i="3"/>
  <c r="L114" i="3"/>
  <c r="K114" i="3"/>
  <c r="J114" i="3"/>
  <c r="I114" i="3"/>
  <c r="H114" i="3"/>
  <c r="G114" i="3"/>
  <c r="F114" i="3"/>
  <c r="E114" i="3"/>
  <c r="D114" i="3"/>
  <c r="C114" i="3"/>
  <c r="B114" i="3"/>
  <c r="U114" i="3" s="1"/>
  <c r="A114" i="3"/>
  <c r="T113" i="3"/>
  <c r="S113" i="3"/>
  <c r="Q113" i="3"/>
  <c r="P113" i="3"/>
  <c r="O113" i="3"/>
  <c r="N113" i="3"/>
  <c r="R113" i="3" s="1"/>
  <c r="M113" i="3"/>
  <c r="L113" i="3"/>
  <c r="K113" i="3"/>
  <c r="J113" i="3"/>
  <c r="I113" i="3"/>
  <c r="H113" i="3"/>
  <c r="G113" i="3"/>
  <c r="F113" i="3"/>
  <c r="E113" i="3"/>
  <c r="D113" i="3"/>
  <c r="C113" i="3"/>
  <c r="B113" i="3"/>
  <c r="U113" i="3" s="1"/>
  <c r="A113" i="3"/>
  <c r="U112" i="3"/>
  <c r="T112" i="3"/>
  <c r="S112" i="3"/>
  <c r="Q112" i="3"/>
  <c r="P112" i="3"/>
  <c r="O112" i="3"/>
  <c r="M112" i="3"/>
  <c r="L112" i="3"/>
  <c r="K112" i="3"/>
  <c r="J112" i="3"/>
  <c r="I112" i="3"/>
  <c r="H112" i="3"/>
  <c r="G112" i="3"/>
  <c r="F112" i="3"/>
  <c r="E112" i="3"/>
  <c r="D112" i="3"/>
  <c r="C112" i="3"/>
  <c r="B112" i="3"/>
  <c r="A112" i="3"/>
  <c r="T111" i="3"/>
  <c r="S111" i="3"/>
  <c r="P111" i="3"/>
  <c r="O111" i="3"/>
  <c r="N111" i="3"/>
  <c r="R111" i="3" s="1"/>
  <c r="M111" i="3"/>
  <c r="L111" i="3"/>
  <c r="K111" i="3"/>
  <c r="J111" i="3"/>
  <c r="Q111" i="3" s="1"/>
  <c r="I111" i="3"/>
  <c r="H111" i="3"/>
  <c r="G111" i="3"/>
  <c r="F111" i="3"/>
  <c r="E111" i="3"/>
  <c r="D111" i="3"/>
  <c r="C111" i="3"/>
  <c r="B111" i="3"/>
  <c r="U111" i="3" s="1"/>
  <c r="A111" i="3"/>
  <c r="U110" i="3"/>
  <c r="T110" i="3"/>
  <c r="S110" i="3"/>
  <c r="Q110" i="3"/>
  <c r="P110" i="3"/>
  <c r="O110" i="3"/>
  <c r="M110" i="3"/>
  <c r="L110" i="3"/>
  <c r="K110" i="3"/>
  <c r="N110" i="3" s="1"/>
  <c r="R110" i="3" s="1"/>
  <c r="J110" i="3"/>
  <c r="I110" i="3"/>
  <c r="H110" i="3"/>
  <c r="G110" i="3"/>
  <c r="F110" i="3"/>
  <c r="E110" i="3"/>
  <c r="D110" i="3"/>
  <c r="C110" i="3"/>
  <c r="B110" i="3"/>
  <c r="A110" i="3"/>
  <c r="U109" i="3"/>
  <c r="T109" i="3"/>
  <c r="S109" i="3"/>
  <c r="P109" i="3"/>
  <c r="Q109" i="3" s="1"/>
  <c r="R109" i="3" s="1"/>
  <c r="O109" i="3"/>
  <c r="M109" i="3"/>
  <c r="L109" i="3"/>
  <c r="K109" i="3"/>
  <c r="J109" i="3"/>
  <c r="N109" i="3" s="1"/>
  <c r="I109" i="3"/>
  <c r="H109" i="3"/>
  <c r="G109" i="3"/>
  <c r="F109" i="3"/>
  <c r="E109" i="3"/>
  <c r="D109" i="3"/>
  <c r="C109" i="3"/>
  <c r="B109" i="3"/>
  <c r="A109" i="3"/>
  <c r="T108" i="3"/>
  <c r="S108" i="3"/>
  <c r="P108" i="3"/>
  <c r="Q108" i="3" s="1"/>
  <c r="O108" i="3"/>
  <c r="N108" i="3"/>
  <c r="M108" i="3"/>
  <c r="L108" i="3"/>
  <c r="K108" i="3"/>
  <c r="J108" i="3"/>
  <c r="I108" i="3"/>
  <c r="H108" i="3"/>
  <c r="G108" i="3"/>
  <c r="F108" i="3"/>
  <c r="E108" i="3"/>
  <c r="D108" i="3"/>
  <c r="C108" i="3"/>
  <c r="B108" i="3"/>
  <c r="U108" i="3" s="1"/>
  <c r="A108" i="3"/>
  <c r="T107" i="3"/>
  <c r="S107" i="3"/>
  <c r="Q107" i="3"/>
  <c r="P107" i="3"/>
  <c r="O107" i="3"/>
  <c r="M107" i="3"/>
  <c r="L107" i="3"/>
  <c r="N107" i="3" s="1"/>
  <c r="R107" i="3" s="1"/>
  <c r="K107" i="3"/>
  <c r="J107" i="3"/>
  <c r="I107" i="3"/>
  <c r="H107" i="3"/>
  <c r="G107" i="3"/>
  <c r="F107" i="3"/>
  <c r="E107" i="3"/>
  <c r="D107" i="3"/>
  <c r="C107" i="3"/>
  <c r="B107" i="3"/>
  <c r="U107" i="3" s="1"/>
  <c r="A107" i="3"/>
  <c r="U106" i="3"/>
  <c r="T106" i="3"/>
  <c r="S106" i="3"/>
  <c r="P106" i="3"/>
  <c r="O106" i="3"/>
  <c r="M106" i="3"/>
  <c r="L106" i="3"/>
  <c r="K106" i="3"/>
  <c r="J106" i="3"/>
  <c r="I106" i="3"/>
  <c r="H106" i="3"/>
  <c r="G106" i="3"/>
  <c r="F106" i="3"/>
  <c r="E106" i="3"/>
  <c r="D106" i="3"/>
  <c r="C106" i="3"/>
  <c r="B106" i="3"/>
  <c r="A106" i="3"/>
  <c r="U105" i="3"/>
  <c r="T105" i="3"/>
  <c r="S105" i="3"/>
  <c r="P105" i="3"/>
  <c r="O105" i="3"/>
  <c r="M105" i="3"/>
  <c r="L105" i="3"/>
  <c r="K105" i="3"/>
  <c r="J105" i="3"/>
  <c r="Q105" i="3" s="1"/>
  <c r="I105" i="3"/>
  <c r="H105" i="3"/>
  <c r="G105" i="3"/>
  <c r="F105" i="3"/>
  <c r="E105" i="3"/>
  <c r="D105" i="3"/>
  <c r="C105" i="3"/>
  <c r="B105" i="3"/>
  <c r="A105" i="3"/>
  <c r="U104" i="3"/>
  <c r="T104" i="3"/>
  <c r="S104" i="3"/>
  <c r="Q104" i="3"/>
  <c r="P104" i="3"/>
  <c r="O104" i="3"/>
  <c r="M104" i="3"/>
  <c r="L104" i="3"/>
  <c r="K104" i="3"/>
  <c r="J104" i="3"/>
  <c r="I104" i="3"/>
  <c r="H104" i="3"/>
  <c r="G104" i="3"/>
  <c r="F104" i="3"/>
  <c r="E104" i="3"/>
  <c r="D104" i="3"/>
  <c r="C104" i="3"/>
  <c r="B104" i="3"/>
  <c r="A104" i="3"/>
  <c r="U103" i="3"/>
  <c r="T103" i="3"/>
  <c r="S103" i="3"/>
  <c r="P103" i="3"/>
  <c r="O103" i="3"/>
  <c r="M103" i="3"/>
  <c r="L103" i="3"/>
  <c r="K103" i="3"/>
  <c r="J103" i="3"/>
  <c r="I103" i="3"/>
  <c r="H103" i="3"/>
  <c r="G103" i="3"/>
  <c r="F103" i="3"/>
  <c r="E103" i="3"/>
  <c r="D103" i="3"/>
  <c r="C103" i="3"/>
  <c r="B103" i="3"/>
  <c r="A103" i="3"/>
  <c r="U102" i="3"/>
  <c r="T102" i="3"/>
  <c r="S102" i="3"/>
  <c r="Q102" i="3"/>
  <c r="P102" i="3"/>
  <c r="O102" i="3"/>
  <c r="N102" i="3"/>
  <c r="R102" i="3" s="1"/>
  <c r="M102" i="3"/>
  <c r="L102" i="3"/>
  <c r="K102" i="3"/>
  <c r="J102" i="3"/>
  <c r="I102" i="3"/>
  <c r="H102" i="3"/>
  <c r="G102" i="3"/>
  <c r="F102" i="3"/>
  <c r="E102" i="3"/>
  <c r="D102" i="3"/>
  <c r="C102" i="3"/>
  <c r="B102" i="3"/>
  <c r="A102" i="3"/>
  <c r="T101" i="3"/>
  <c r="S101" i="3"/>
  <c r="Q101" i="3"/>
  <c r="P101" i="3"/>
  <c r="O101" i="3"/>
  <c r="M101" i="3"/>
  <c r="L101" i="3"/>
  <c r="K101" i="3"/>
  <c r="N101" i="3" s="1"/>
  <c r="R101" i="3" s="1"/>
  <c r="J101" i="3"/>
  <c r="I101" i="3"/>
  <c r="H101" i="3"/>
  <c r="G101" i="3"/>
  <c r="F101" i="3"/>
  <c r="E101" i="3"/>
  <c r="D101" i="3"/>
  <c r="C101" i="3"/>
  <c r="B101" i="3"/>
  <c r="U101" i="3" s="1"/>
  <c r="A101" i="3"/>
  <c r="U100" i="3"/>
  <c r="T100" i="3"/>
  <c r="S100" i="3"/>
  <c r="P100" i="3"/>
  <c r="O100" i="3"/>
  <c r="M100" i="3"/>
  <c r="L100" i="3"/>
  <c r="K100" i="3"/>
  <c r="J100" i="3"/>
  <c r="I100" i="3"/>
  <c r="H100" i="3"/>
  <c r="G100" i="3"/>
  <c r="F100" i="3"/>
  <c r="E100" i="3"/>
  <c r="D100" i="3"/>
  <c r="C100" i="3"/>
  <c r="B100" i="3"/>
  <c r="A100" i="3"/>
  <c r="T99" i="3"/>
  <c r="S99" i="3"/>
  <c r="P99" i="3"/>
  <c r="O99" i="3"/>
  <c r="M99" i="3"/>
  <c r="L99" i="3"/>
  <c r="K99" i="3"/>
  <c r="J99" i="3"/>
  <c r="I99" i="3"/>
  <c r="H99" i="3"/>
  <c r="G99" i="3"/>
  <c r="F99" i="3"/>
  <c r="E99" i="3"/>
  <c r="D99" i="3"/>
  <c r="C99" i="3"/>
  <c r="B99" i="3"/>
  <c r="U99" i="3" s="1"/>
  <c r="A99" i="3"/>
  <c r="U98" i="3"/>
  <c r="T98" i="3"/>
  <c r="S98" i="3"/>
  <c r="R98" i="3"/>
  <c r="Q98" i="3"/>
  <c r="P98" i="3"/>
  <c r="O98" i="3"/>
  <c r="M98" i="3"/>
  <c r="L98" i="3"/>
  <c r="K98" i="3"/>
  <c r="N98" i="3" s="1"/>
  <c r="J98" i="3"/>
  <c r="I98" i="3"/>
  <c r="H98" i="3"/>
  <c r="G98" i="3"/>
  <c r="F98" i="3"/>
  <c r="E98" i="3"/>
  <c r="D98" i="3"/>
  <c r="C98" i="3"/>
  <c r="B98" i="3"/>
  <c r="A98" i="3"/>
  <c r="U97" i="3"/>
  <c r="T97" i="3"/>
  <c r="S97" i="3"/>
  <c r="Q97" i="3"/>
  <c r="P97" i="3"/>
  <c r="O97" i="3"/>
  <c r="M97" i="3"/>
  <c r="L97" i="3"/>
  <c r="K97" i="3"/>
  <c r="J97" i="3"/>
  <c r="N97" i="3" s="1"/>
  <c r="I97" i="3"/>
  <c r="H97" i="3"/>
  <c r="G97" i="3"/>
  <c r="F97" i="3"/>
  <c r="E97" i="3"/>
  <c r="D97" i="3"/>
  <c r="C97" i="3"/>
  <c r="B97" i="3"/>
  <c r="A97" i="3"/>
  <c r="T96" i="3"/>
  <c r="S96" i="3"/>
  <c r="Q96" i="3"/>
  <c r="P96" i="3"/>
  <c r="O96" i="3"/>
  <c r="N96" i="3"/>
  <c r="M96" i="3"/>
  <c r="L96" i="3"/>
  <c r="K96" i="3"/>
  <c r="J96" i="3"/>
  <c r="I96" i="3"/>
  <c r="H96" i="3"/>
  <c r="G96" i="3"/>
  <c r="F96" i="3"/>
  <c r="E96" i="3"/>
  <c r="D96" i="3"/>
  <c r="C96" i="3"/>
  <c r="B96" i="3"/>
  <c r="U96" i="3" s="1"/>
  <c r="A96" i="3"/>
  <c r="T95" i="3"/>
  <c r="S95" i="3"/>
  <c r="P95" i="3"/>
  <c r="O95" i="3"/>
  <c r="M95" i="3"/>
  <c r="L95" i="3"/>
  <c r="K95" i="3"/>
  <c r="J95" i="3"/>
  <c r="I95" i="3"/>
  <c r="H95" i="3"/>
  <c r="G95" i="3"/>
  <c r="F95" i="3"/>
  <c r="E95" i="3"/>
  <c r="D95" i="3"/>
  <c r="C95" i="3"/>
  <c r="B95" i="3"/>
  <c r="U95" i="3" s="1"/>
  <c r="A95" i="3"/>
  <c r="U94" i="3"/>
  <c r="T94" i="3"/>
  <c r="S94" i="3"/>
  <c r="Q94" i="3"/>
  <c r="P94" i="3"/>
  <c r="O94" i="3"/>
  <c r="M94" i="3"/>
  <c r="L94" i="3"/>
  <c r="K94" i="3"/>
  <c r="J94" i="3"/>
  <c r="I94" i="3"/>
  <c r="H94" i="3"/>
  <c r="G94" i="3"/>
  <c r="F94" i="3"/>
  <c r="E94" i="3"/>
  <c r="D94" i="3"/>
  <c r="C94" i="3"/>
  <c r="B94" i="3"/>
  <c r="A94" i="3"/>
  <c r="T93" i="3"/>
  <c r="S93" i="3"/>
  <c r="P93" i="3"/>
  <c r="O93" i="3"/>
  <c r="N93" i="3"/>
  <c r="M93" i="3"/>
  <c r="L93" i="3"/>
  <c r="K93" i="3"/>
  <c r="J93" i="3"/>
  <c r="I93" i="3"/>
  <c r="H93" i="3"/>
  <c r="G93" i="3"/>
  <c r="F93" i="3"/>
  <c r="E93" i="3"/>
  <c r="D93" i="3"/>
  <c r="C93" i="3"/>
  <c r="B93" i="3"/>
  <c r="U93" i="3" s="1"/>
  <c r="A93" i="3"/>
  <c r="T92" i="3"/>
  <c r="S92" i="3"/>
  <c r="P92" i="3"/>
  <c r="Q92" i="3" s="1"/>
  <c r="O92" i="3"/>
  <c r="M92" i="3"/>
  <c r="L92" i="3"/>
  <c r="N92" i="3" s="1"/>
  <c r="R92" i="3" s="1"/>
  <c r="K92" i="3"/>
  <c r="J92" i="3"/>
  <c r="I92" i="3"/>
  <c r="H92" i="3"/>
  <c r="G92" i="3"/>
  <c r="F92" i="3"/>
  <c r="E92" i="3"/>
  <c r="D92" i="3"/>
  <c r="C92" i="3"/>
  <c r="B92" i="3"/>
  <c r="U92" i="3" s="1"/>
  <c r="A92" i="3"/>
  <c r="U91" i="3"/>
  <c r="T91" i="3"/>
  <c r="S91" i="3"/>
  <c r="P91" i="3"/>
  <c r="O91" i="3"/>
  <c r="M91" i="3"/>
  <c r="L91" i="3"/>
  <c r="K91" i="3"/>
  <c r="J91" i="3"/>
  <c r="I91" i="3"/>
  <c r="H91" i="3"/>
  <c r="G91" i="3"/>
  <c r="F91" i="3"/>
  <c r="E91" i="3"/>
  <c r="D91" i="3"/>
  <c r="C91" i="3"/>
  <c r="B91" i="3"/>
  <c r="A91" i="3"/>
  <c r="U90" i="3"/>
  <c r="T90" i="3"/>
  <c r="S90" i="3"/>
  <c r="P90" i="3"/>
  <c r="O90" i="3"/>
  <c r="M90" i="3"/>
  <c r="L90" i="3"/>
  <c r="K90" i="3"/>
  <c r="J90" i="3"/>
  <c r="N90" i="3" s="1"/>
  <c r="I90" i="3"/>
  <c r="H90" i="3"/>
  <c r="G90" i="3"/>
  <c r="F90" i="3"/>
  <c r="E90" i="3"/>
  <c r="D90" i="3"/>
  <c r="C90" i="3"/>
  <c r="B90" i="3"/>
  <c r="A90" i="3"/>
  <c r="T89" i="3"/>
  <c r="S89" i="3"/>
  <c r="Q89" i="3"/>
  <c r="R89" i="3" s="1"/>
  <c r="P89" i="3"/>
  <c r="O89" i="3"/>
  <c r="M89" i="3"/>
  <c r="L89" i="3"/>
  <c r="K89" i="3"/>
  <c r="J89" i="3"/>
  <c r="N89" i="3" s="1"/>
  <c r="I89" i="3"/>
  <c r="H89" i="3"/>
  <c r="G89" i="3"/>
  <c r="F89" i="3"/>
  <c r="E89" i="3"/>
  <c r="D89" i="3"/>
  <c r="C89" i="3"/>
  <c r="B89" i="3"/>
  <c r="U89" i="3" s="1"/>
  <c r="A89" i="3"/>
  <c r="T88" i="3"/>
  <c r="S88" i="3"/>
  <c r="P88" i="3"/>
  <c r="O88" i="3"/>
  <c r="N88" i="3"/>
  <c r="M88" i="3"/>
  <c r="L88" i="3"/>
  <c r="K88" i="3"/>
  <c r="J88" i="3"/>
  <c r="Q88" i="3" s="1"/>
  <c r="I88" i="3"/>
  <c r="H88" i="3"/>
  <c r="G88" i="3"/>
  <c r="F88" i="3"/>
  <c r="E88" i="3"/>
  <c r="D88" i="3"/>
  <c r="C88" i="3"/>
  <c r="B88" i="3"/>
  <c r="U88" i="3" s="1"/>
  <c r="A88" i="3"/>
  <c r="T87" i="3"/>
  <c r="S87" i="3"/>
  <c r="P87" i="3"/>
  <c r="O87" i="3"/>
  <c r="M87" i="3"/>
  <c r="L87" i="3"/>
  <c r="K87" i="3"/>
  <c r="N87" i="3" s="1"/>
  <c r="R87" i="3" s="1"/>
  <c r="J87" i="3"/>
  <c r="Q87" i="3" s="1"/>
  <c r="I87" i="3"/>
  <c r="H87" i="3"/>
  <c r="G87" i="3"/>
  <c r="F87" i="3"/>
  <c r="E87" i="3"/>
  <c r="D87" i="3"/>
  <c r="C87" i="3"/>
  <c r="B87" i="3"/>
  <c r="U87" i="3" s="1"/>
  <c r="A87" i="3"/>
  <c r="U86" i="3"/>
  <c r="T86" i="3"/>
  <c r="S86" i="3"/>
  <c r="P86" i="3"/>
  <c r="O86" i="3"/>
  <c r="M86" i="3"/>
  <c r="L86" i="3"/>
  <c r="K86" i="3"/>
  <c r="J86" i="3"/>
  <c r="I86" i="3"/>
  <c r="H86" i="3"/>
  <c r="G86" i="3"/>
  <c r="F86" i="3"/>
  <c r="E86" i="3"/>
  <c r="D86" i="3"/>
  <c r="C86" i="3"/>
  <c r="B86" i="3"/>
  <c r="A86" i="3"/>
  <c r="U85" i="3"/>
  <c r="T85" i="3"/>
  <c r="S85" i="3"/>
  <c r="P85" i="3"/>
  <c r="O85" i="3"/>
  <c r="M85" i="3"/>
  <c r="L85" i="3"/>
  <c r="K85" i="3"/>
  <c r="J85" i="3"/>
  <c r="N85" i="3" s="1"/>
  <c r="I85" i="3"/>
  <c r="H85" i="3"/>
  <c r="G85" i="3"/>
  <c r="F85" i="3"/>
  <c r="E85" i="3"/>
  <c r="D85" i="3"/>
  <c r="C85" i="3"/>
  <c r="B85" i="3"/>
  <c r="A85" i="3"/>
  <c r="T84" i="3"/>
  <c r="S84" i="3"/>
  <c r="R84" i="3"/>
  <c r="Q84" i="3"/>
  <c r="P84" i="3"/>
  <c r="O84" i="3"/>
  <c r="M84" i="3"/>
  <c r="L84" i="3"/>
  <c r="N84" i="3" s="1"/>
  <c r="K84" i="3"/>
  <c r="J84" i="3"/>
  <c r="I84" i="3"/>
  <c r="H84" i="3"/>
  <c r="G84" i="3"/>
  <c r="F84" i="3"/>
  <c r="E84" i="3"/>
  <c r="D84" i="3"/>
  <c r="C84" i="3"/>
  <c r="B84" i="3"/>
  <c r="U84" i="3" s="1"/>
  <c r="A84" i="3"/>
  <c r="T83" i="3"/>
  <c r="S83" i="3"/>
  <c r="P83" i="3"/>
  <c r="O83" i="3"/>
  <c r="N83" i="3"/>
  <c r="M83" i="3"/>
  <c r="L83" i="3"/>
  <c r="K83" i="3"/>
  <c r="J83" i="3"/>
  <c r="Q83" i="3" s="1"/>
  <c r="I83" i="3"/>
  <c r="H83" i="3"/>
  <c r="G83" i="3"/>
  <c r="F83" i="3"/>
  <c r="E83" i="3"/>
  <c r="D83" i="3"/>
  <c r="C83" i="3"/>
  <c r="B83" i="3"/>
  <c r="U83" i="3" s="1"/>
  <c r="A83" i="3"/>
  <c r="T82" i="3"/>
  <c r="S82" i="3"/>
  <c r="P82" i="3"/>
  <c r="O82" i="3"/>
  <c r="N82" i="3"/>
  <c r="R82" i="3" s="1"/>
  <c r="M82" i="3"/>
  <c r="L82" i="3"/>
  <c r="K82" i="3"/>
  <c r="J82" i="3"/>
  <c r="Q82" i="3" s="1"/>
  <c r="I82" i="3"/>
  <c r="H82" i="3"/>
  <c r="G82" i="3"/>
  <c r="F82" i="3"/>
  <c r="E82" i="3"/>
  <c r="D82" i="3"/>
  <c r="C82" i="3"/>
  <c r="B82" i="3"/>
  <c r="U82" i="3" s="1"/>
  <c r="A82" i="3"/>
  <c r="U81" i="3"/>
  <c r="T81" i="3"/>
  <c r="S81" i="3"/>
  <c r="P81" i="3"/>
  <c r="O81" i="3"/>
  <c r="M81" i="3"/>
  <c r="L81" i="3"/>
  <c r="K81" i="3"/>
  <c r="J81" i="3"/>
  <c r="I81" i="3"/>
  <c r="H81" i="3"/>
  <c r="G81" i="3"/>
  <c r="F81" i="3"/>
  <c r="E81" i="3"/>
  <c r="D81" i="3"/>
  <c r="C81" i="3"/>
  <c r="B81" i="3"/>
  <c r="A81" i="3"/>
  <c r="U80" i="3"/>
  <c r="T80" i="3"/>
  <c r="S80" i="3"/>
  <c r="P80" i="3"/>
  <c r="O80" i="3"/>
  <c r="M80" i="3"/>
  <c r="L80" i="3"/>
  <c r="K80" i="3"/>
  <c r="J80" i="3"/>
  <c r="N80" i="3" s="1"/>
  <c r="I80" i="3"/>
  <c r="H80" i="3"/>
  <c r="G80" i="3"/>
  <c r="F80" i="3"/>
  <c r="E80" i="3"/>
  <c r="D80" i="3"/>
  <c r="C80" i="3"/>
  <c r="B80" i="3"/>
  <c r="A80" i="3"/>
  <c r="T79" i="3"/>
  <c r="S79" i="3"/>
  <c r="R79" i="3"/>
  <c r="Q79" i="3"/>
  <c r="P79" i="3"/>
  <c r="O79" i="3"/>
  <c r="M79" i="3"/>
  <c r="L79" i="3"/>
  <c r="K79" i="3"/>
  <c r="N79" i="3" s="1"/>
  <c r="J79" i="3"/>
  <c r="I79" i="3"/>
  <c r="H79" i="3"/>
  <c r="G79" i="3"/>
  <c r="F79" i="3"/>
  <c r="E79" i="3"/>
  <c r="D79" i="3"/>
  <c r="C79" i="3"/>
  <c r="B79" i="3"/>
  <c r="U79" i="3" s="1"/>
  <c r="A79" i="3"/>
  <c r="U78" i="3"/>
  <c r="T78" i="3"/>
  <c r="S78" i="3"/>
  <c r="Q78" i="3"/>
  <c r="P78" i="3"/>
  <c r="O78" i="3"/>
  <c r="N78" i="3"/>
  <c r="R78" i="3" s="1"/>
  <c r="M78" i="3"/>
  <c r="L78" i="3"/>
  <c r="K78" i="3"/>
  <c r="J78" i="3"/>
  <c r="I78" i="3"/>
  <c r="H78" i="3"/>
  <c r="G78" i="3"/>
  <c r="F78" i="3"/>
  <c r="E78" i="3"/>
  <c r="D78" i="3"/>
  <c r="C78" i="3"/>
  <c r="B78" i="3"/>
  <c r="A78" i="3"/>
  <c r="T77" i="3"/>
  <c r="S77" i="3"/>
  <c r="P77" i="3"/>
  <c r="O77" i="3"/>
  <c r="M77" i="3"/>
  <c r="L77" i="3"/>
  <c r="N77" i="3" s="1"/>
  <c r="R77" i="3" s="1"/>
  <c r="K77" i="3"/>
  <c r="J77" i="3"/>
  <c r="Q77" i="3" s="1"/>
  <c r="I77" i="3"/>
  <c r="H77" i="3"/>
  <c r="G77" i="3"/>
  <c r="F77" i="3"/>
  <c r="E77" i="3"/>
  <c r="D77" i="3"/>
  <c r="C77" i="3"/>
  <c r="B77" i="3"/>
  <c r="U77" i="3" s="1"/>
  <c r="A77" i="3"/>
  <c r="U76" i="3"/>
  <c r="T76" i="3"/>
  <c r="S76" i="3"/>
  <c r="P76" i="3"/>
  <c r="O76" i="3"/>
  <c r="M76" i="3"/>
  <c r="L76" i="3"/>
  <c r="K76" i="3"/>
  <c r="J76" i="3"/>
  <c r="I76" i="3"/>
  <c r="H76" i="3"/>
  <c r="G76" i="3"/>
  <c r="F76" i="3"/>
  <c r="E76" i="3"/>
  <c r="D76" i="3"/>
  <c r="C76" i="3"/>
  <c r="B76" i="3"/>
  <c r="A76" i="3"/>
  <c r="U75" i="3"/>
  <c r="T75" i="3"/>
  <c r="S75" i="3"/>
  <c r="P75" i="3"/>
  <c r="O75" i="3"/>
  <c r="M75" i="3"/>
  <c r="L75" i="3"/>
  <c r="K75" i="3"/>
  <c r="J75" i="3"/>
  <c r="Q75" i="3" s="1"/>
  <c r="I75" i="3"/>
  <c r="H75" i="3"/>
  <c r="G75" i="3"/>
  <c r="F75" i="3"/>
  <c r="E75" i="3"/>
  <c r="D75" i="3"/>
  <c r="C75" i="3"/>
  <c r="B75" i="3"/>
  <c r="A75" i="3"/>
  <c r="T74" i="3"/>
  <c r="S74" i="3"/>
  <c r="Q74" i="3"/>
  <c r="R74" i="3" s="1"/>
  <c r="P74" i="3"/>
  <c r="O74" i="3"/>
  <c r="M74" i="3"/>
  <c r="L74" i="3"/>
  <c r="K74" i="3"/>
  <c r="N74" i="3" s="1"/>
  <c r="J74" i="3"/>
  <c r="I74" i="3"/>
  <c r="H74" i="3"/>
  <c r="G74" i="3"/>
  <c r="F74" i="3"/>
  <c r="E74" i="3"/>
  <c r="D74" i="3"/>
  <c r="C74" i="3"/>
  <c r="B74" i="3"/>
  <c r="U74" i="3" s="1"/>
  <c r="A74" i="3"/>
  <c r="U73" i="3"/>
  <c r="T73" i="3"/>
  <c r="S73" i="3"/>
  <c r="P73" i="3"/>
  <c r="Q73" i="3" s="1"/>
  <c r="O73" i="3"/>
  <c r="M73" i="3"/>
  <c r="L73" i="3"/>
  <c r="K73" i="3"/>
  <c r="N73" i="3" s="1"/>
  <c r="J73" i="3"/>
  <c r="I73" i="3"/>
  <c r="H73" i="3"/>
  <c r="G73" i="3"/>
  <c r="F73" i="3"/>
  <c r="E73" i="3"/>
  <c r="D73" i="3"/>
  <c r="C73" i="3"/>
  <c r="B73" i="3"/>
  <c r="A73" i="3"/>
  <c r="T72" i="3"/>
  <c r="S72" i="3"/>
  <c r="P72" i="3"/>
  <c r="O72" i="3"/>
  <c r="N72" i="3"/>
  <c r="M72" i="3"/>
  <c r="L72" i="3"/>
  <c r="K72" i="3"/>
  <c r="J72" i="3"/>
  <c r="Q72" i="3" s="1"/>
  <c r="I72" i="3"/>
  <c r="H72" i="3"/>
  <c r="G72" i="3"/>
  <c r="F72" i="3"/>
  <c r="E72" i="3"/>
  <c r="D72" i="3"/>
  <c r="C72" i="3"/>
  <c r="B72" i="3"/>
  <c r="U72" i="3" s="1"/>
  <c r="A72" i="3"/>
  <c r="T71" i="3"/>
  <c r="S71" i="3"/>
  <c r="P71" i="3"/>
  <c r="O71" i="3"/>
  <c r="M71" i="3"/>
  <c r="L71" i="3"/>
  <c r="K71" i="3"/>
  <c r="J71" i="3"/>
  <c r="I71" i="3"/>
  <c r="H71" i="3"/>
  <c r="G71" i="3"/>
  <c r="F71" i="3"/>
  <c r="E71" i="3"/>
  <c r="D71" i="3"/>
  <c r="C71" i="3"/>
  <c r="B71" i="3"/>
  <c r="U71" i="3" s="1"/>
  <c r="A71" i="3"/>
  <c r="U70" i="3"/>
  <c r="T70" i="3"/>
  <c r="S70" i="3"/>
  <c r="P70" i="3"/>
  <c r="O70" i="3"/>
  <c r="M70" i="3"/>
  <c r="L70" i="3"/>
  <c r="K70" i="3"/>
  <c r="J70" i="3"/>
  <c r="I70" i="3"/>
  <c r="H70" i="3"/>
  <c r="G70" i="3"/>
  <c r="F70" i="3"/>
  <c r="E70" i="3"/>
  <c r="D70" i="3"/>
  <c r="C70" i="3"/>
  <c r="B70" i="3"/>
  <c r="A70" i="3"/>
  <c r="T69" i="3"/>
  <c r="S69" i="3"/>
  <c r="R69" i="3"/>
  <c r="Q69" i="3"/>
  <c r="P69" i="3"/>
  <c r="O69" i="3"/>
  <c r="N69" i="3"/>
  <c r="M69" i="3"/>
  <c r="L69" i="3"/>
  <c r="K69" i="3"/>
  <c r="J69" i="3"/>
  <c r="I69" i="3"/>
  <c r="H69" i="3"/>
  <c r="G69" i="3"/>
  <c r="F69" i="3"/>
  <c r="E69" i="3"/>
  <c r="D69" i="3"/>
  <c r="C69" i="3"/>
  <c r="B69" i="3"/>
  <c r="U69" i="3" s="1"/>
  <c r="A69" i="3"/>
  <c r="T68" i="3"/>
  <c r="S68" i="3"/>
  <c r="Q68" i="3"/>
  <c r="R68" i="3" s="1"/>
  <c r="P68" i="3"/>
  <c r="O68" i="3"/>
  <c r="M68" i="3"/>
  <c r="L68" i="3"/>
  <c r="K68" i="3"/>
  <c r="J68" i="3"/>
  <c r="N68" i="3" s="1"/>
  <c r="I68" i="3"/>
  <c r="H68" i="3"/>
  <c r="G68" i="3"/>
  <c r="F68" i="3"/>
  <c r="E68" i="3"/>
  <c r="D68" i="3"/>
  <c r="C68" i="3"/>
  <c r="B68" i="3"/>
  <c r="U68" i="3" s="1"/>
  <c r="A68" i="3"/>
  <c r="T67" i="3"/>
  <c r="S67" i="3"/>
  <c r="P67" i="3"/>
  <c r="O67" i="3"/>
  <c r="N67" i="3"/>
  <c r="M67" i="3"/>
  <c r="L67" i="3"/>
  <c r="K67" i="3"/>
  <c r="J67" i="3"/>
  <c r="Q67" i="3" s="1"/>
  <c r="I67" i="3"/>
  <c r="H67" i="3"/>
  <c r="G67" i="3"/>
  <c r="F67" i="3"/>
  <c r="E67" i="3"/>
  <c r="D67" i="3"/>
  <c r="C67" i="3"/>
  <c r="B67" i="3"/>
  <c r="U67" i="3" s="1"/>
  <c r="A67" i="3"/>
  <c r="T66" i="3"/>
  <c r="S66" i="3"/>
  <c r="P66" i="3"/>
  <c r="O66" i="3"/>
  <c r="N66" i="3"/>
  <c r="R66" i="3" s="1"/>
  <c r="M66" i="3"/>
  <c r="L66" i="3"/>
  <c r="K66" i="3"/>
  <c r="J66" i="3"/>
  <c r="Q66" i="3" s="1"/>
  <c r="I66" i="3"/>
  <c r="H66" i="3"/>
  <c r="G66" i="3"/>
  <c r="F66" i="3"/>
  <c r="E66" i="3"/>
  <c r="D66" i="3"/>
  <c r="C66" i="3"/>
  <c r="B66" i="3"/>
  <c r="U66" i="3" s="1"/>
  <c r="A66" i="3"/>
  <c r="U65" i="3"/>
  <c r="T65" i="3"/>
  <c r="S65" i="3"/>
  <c r="P65" i="3"/>
  <c r="O65" i="3"/>
  <c r="M65" i="3"/>
  <c r="L65" i="3"/>
  <c r="K65" i="3"/>
  <c r="J65" i="3"/>
  <c r="I65" i="3"/>
  <c r="H65" i="3"/>
  <c r="G65" i="3"/>
  <c r="F65" i="3"/>
  <c r="E65" i="3"/>
  <c r="D65" i="3"/>
  <c r="C65" i="3"/>
  <c r="B65" i="3"/>
  <c r="A65" i="3"/>
  <c r="U64" i="3"/>
  <c r="T64" i="3"/>
  <c r="S64" i="3"/>
  <c r="P64" i="3"/>
  <c r="O64" i="3"/>
  <c r="M64" i="3"/>
  <c r="L64" i="3"/>
  <c r="K64" i="3"/>
  <c r="J64" i="3"/>
  <c r="I64" i="3"/>
  <c r="H64" i="3"/>
  <c r="G64" i="3"/>
  <c r="F64" i="3"/>
  <c r="E64" i="3"/>
  <c r="D64" i="3"/>
  <c r="C64" i="3"/>
  <c r="B64" i="3"/>
  <c r="A64" i="3"/>
  <c r="T63" i="3"/>
  <c r="S63" i="3"/>
  <c r="R63" i="3"/>
  <c r="Q63" i="3"/>
  <c r="P63" i="3"/>
  <c r="O63" i="3"/>
  <c r="N63" i="3"/>
  <c r="M63" i="3"/>
  <c r="L63" i="3"/>
  <c r="K63" i="3"/>
  <c r="J63" i="3"/>
  <c r="I63" i="3"/>
  <c r="H63" i="3"/>
  <c r="G63" i="3"/>
  <c r="F63" i="3"/>
  <c r="E63" i="3"/>
  <c r="D63" i="3"/>
  <c r="C63" i="3"/>
  <c r="B63" i="3"/>
  <c r="U63" i="3" s="1"/>
  <c r="A63" i="3"/>
  <c r="T62" i="3"/>
  <c r="S62" i="3"/>
  <c r="Q62" i="3"/>
  <c r="P62" i="3"/>
  <c r="O62" i="3"/>
  <c r="M62" i="3"/>
  <c r="L62" i="3"/>
  <c r="K62" i="3"/>
  <c r="J62" i="3"/>
  <c r="N62" i="3" s="1"/>
  <c r="R62" i="3" s="1"/>
  <c r="I62" i="3"/>
  <c r="H62" i="3"/>
  <c r="G62" i="3"/>
  <c r="F62" i="3"/>
  <c r="E62" i="3"/>
  <c r="D62" i="3"/>
  <c r="C62" i="3"/>
  <c r="B62" i="3"/>
  <c r="U62" i="3" s="1"/>
  <c r="A62" i="3"/>
  <c r="T61" i="3"/>
  <c r="S61" i="3"/>
  <c r="P61" i="3"/>
  <c r="O61" i="3"/>
  <c r="N61" i="3"/>
  <c r="M61" i="3"/>
  <c r="L61" i="3"/>
  <c r="K61" i="3"/>
  <c r="J61" i="3"/>
  <c r="I61" i="3"/>
  <c r="H61" i="3"/>
  <c r="G61" i="3"/>
  <c r="F61" i="3"/>
  <c r="E61" i="3"/>
  <c r="D61" i="3"/>
  <c r="C61" i="3"/>
  <c r="B61" i="3"/>
  <c r="U61" i="3" s="1"/>
  <c r="A61" i="3"/>
  <c r="T60" i="3"/>
  <c r="S60" i="3"/>
  <c r="P60" i="3"/>
  <c r="O60" i="3"/>
  <c r="M60" i="3"/>
  <c r="L60" i="3"/>
  <c r="N60" i="3" s="1"/>
  <c r="R60" i="3" s="1"/>
  <c r="K60" i="3"/>
  <c r="J60" i="3"/>
  <c r="Q60" i="3" s="1"/>
  <c r="I60" i="3"/>
  <c r="H60" i="3"/>
  <c r="G60" i="3"/>
  <c r="F60" i="3"/>
  <c r="E60" i="3"/>
  <c r="D60" i="3"/>
  <c r="C60" i="3"/>
  <c r="B60" i="3"/>
  <c r="U60" i="3" s="1"/>
  <c r="A60" i="3"/>
  <c r="U59" i="3"/>
  <c r="T59" i="3"/>
  <c r="S59" i="3"/>
  <c r="P59" i="3"/>
  <c r="O59" i="3"/>
  <c r="M59" i="3"/>
  <c r="L59" i="3"/>
  <c r="K59" i="3"/>
  <c r="J59" i="3"/>
  <c r="I59" i="3"/>
  <c r="H59" i="3"/>
  <c r="G59" i="3"/>
  <c r="F59" i="3"/>
  <c r="E59" i="3"/>
  <c r="D59" i="3"/>
  <c r="C59" i="3"/>
  <c r="B59" i="3"/>
  <c r="A59" i="3"/>
  <c r="U58" i="3"/>
  <c r="T58" i="3"/>
  <c r="S58" i="3"/>
  <c r="P58" i="3"/>
  <c r="O58" i="3"/>
  <c r="M58" i="3"/>
  <c r="L58" i="3"/>
  <c r="K58" i="3"/>
  <c r="J58" i="3"/>
  <c r="I58" i="3"/>
  <c r="H58" i="3"/>
  <c r="G58" i="3"/>
  <c r="F58" i="3"/>
  <c r="E58" i="3"/>
  <c r="D58" i="3"/>
  <c r="C58" i="3"/>
  <c r="B58" i="3"/>
  <c r="A58" i="3"/>
  <c r="T57" i="3"/>
  <c r="S57" i="3"/>
  <c r="R57" i="3"/>
  <c r="Q57" i="3"/>
  <c r="P57" i="3"/>
  <c r="O57" i="3"/>
  <c r="N57" i="3"/>
  <c r="M57" i="3"/>
  <c r="L57" i="3"/>
  <c r="K57" i="3"/>
  <c r="J57" i="3"/>
  <c r="I57" i="3"/>
  <c r="H57" i="3"/>
  <c r="G57" i="3"/>
  <c r="F57" i="3"/>
  <c r="E57" i="3"/>
  <c r="D57" i="3"/>
  <c r="C57" i="3"/>
  <c r="B57" i="3"/>
  <c r="U57" i="3" s="1"/>
  <c r="A57" i="3"/>
  <c r="T56" i="3"/>
  <c r="S56" i="3"/>
  <c r="R56" i="3"/>
  <c r="Q56" i="3"/>
  <c r="P56" i="3"/>
  <c r="O56" i="3"/>
  <c r="M56" i="3"/>
  <c r="L56" i="3"/>
  <c r="K56" i="3"/>
  <c r="J56" i="3"/>
  <c r="N56" i="3" s="1"/>
  <c r="I56" i="3"/>
  <c r="H56" i="3"/>
  <c r="G56" i="3"/>
  <c r="F56" i="3"/>
  <c r="E56" i="3"/>
  <c r="D56" i="3"/>
  <c r="C56" i="3"/>
  <c r="B56" i="3"/>
  <c r="U56" i="3" s="1"/>
  <c r="A56" i="3"/>
  <c r="T55" i="3"/>
  <c r="S55" i="3"/>
  <c r="P55" i="3"/>
  <c r="O55" i="3"/>
  <c r="N55" i="3"/>
  <c r="M55" i="3"/>
  <c r="L55" i="3"/>
  <c r="K55" i="3"/>
  <c r="J55" i="3"/>
  <c r="I55" i="3"/>
  <c r="H55" i="3"/>
  <c r="G55" i="3"/>
  <c r="F55" i="3"/>
  <c r="E55" i="3"/>
  <c r="D55" i="3"/>
  <c r="C55" i="3"/>
  <c r="B55" i="3"/>
  <c r="U55" i="3" s="1"/>
  <c r="A55" i="3"/>
  <c r="T54" i="3"/>
  <c r="S54" i="3"/>
  <c r="P54" i="3"/>
  <c r="O54" i="3"/>
  <c r="M54" i="3"/>
  <c r="L54" i="3"/>
  <c r="N54" i="3" s="1"/>
  <c r="R54" i="3" s="1"/>
  <c r="K54" i="3"/>
  <c r="J54" i="3"/>
  <c r="Q54" i="3" s="1"/>
  <c r="I54" i="3"/>
  <c r="H54" i="3"/>
  <c r="G54" i="3"/>
  <c r="F54" i="3"/>
  <c r="E54" i="3"/>
  <c r="D54" i="3"/>
  <c r="C54" i="3"/>
  <c r="B54" i="3"/>
  <c r="U54" i="3" s="1"/>
  <c r="A54" i="3"/>
  <c r="U53" i="3"/>
  <c r="T53" i="3"/>
  <c r="S53" i="3"/>
  <c r="P53" i="3"/>
  <c r="O53" i="3"/>
  <c r="M53" i="3"/>
  <c r="L53" i="3"/>
  <c r="K53" i="3"/>
  <c r="J53" i="3"/>
  <c r="I53" i="3"/>
  <c r="H53" i="3"/>
  <c r="G53" i="3"/>
  <c r="F53" i="3"/>
  <c r="E53" i="3"/>
  <c r="D53" i="3"/>
  <c r="C53" i="3"/>
  <c r="B53" i="3"/>
  <c r="A53" i="3"/>
  <c r="U52" i="3"/>
  <c r="T52" i="3"/>
  <c r="S52" i="3"/>
  <c r="P52" i="3"/>
  <c r="O52" i="3"/>
  <c r="M52" i="3"/>
  <c r="L52" i="3"/>
  <c r="K52" i="3"/>
  <c r="J52" i="3"/>
  <c r="I52" i="3"/>
  <c r="H52" i="3"/>
  <c r="G52" i="3"/>
  <c r="F52" i="3"/>
  <c r="E52" i="3"/>
  <c r="D52" i="3"/>
  <c r="C52" i="3"/>
  <c r="B52" i="3"/>
  <c r="A52" i="3"/>
  <c r="T51" i="3"/>
  <c r="S51" i="3"/>
  <c r="R51" i="3"/>
  <c r="Q51" i="3"/>
  <c r="P51" i="3"/>
  <c r="O51" i="3"/>
  <c r="N51" i="3"/>
  <c r="M51" i="3"/>
  <c r="L51" i="3"/>
  <c r="K51" i="3"/>
  <c r="J51" i="3"/>
  <c r="I51" i="3"/>
  <c r="H51" i="3"/>
  <c r="G51" i="3"/>
  <c r="F51" i="3"/>
  <c r="E51" i="3"/>
  <c r="D51" i="3"/>
  <c r="C51" i="3"/>
  <c r="B51" i="3"/>
  <c r="U51" i="3" s="1"/>
  <c r="A51" i="3"/>
  <c r="T50" i="3"/>
  <c r="S50" i="3"/>
  <c r="Q50" i="3"/>
  <c r="R50" i="3" s="1"/>
  <c r="P50" i="3"/>
  <c r="O50" i="3"/>
  <c r="M50" i="3"/>
  <c r="L50" i="3"/>
  <c r="K50" i="3"/>
  <c r="J50" i="3"/>
  <c r="N50" i="3" s="1"/>
  <c r="I50" i="3"/>
  <c r="H50" i="3"/>
  <c r="G50" i="3"/>
  <c r="F50" i="3"/>
  <c r="E50" i="3"/>
  <c r="D50" i="3"/>
  <c r="C50" i="3"/>
  <c r="B50" i="3"/>
  <c r="U50" i="3" s="1"/>
  <c r="A50" i="3"/>
  <c r="T49" i="3"/>
  <c r="S49" i="3"/>
  <c r="P49" i="3"/>
  <c r="O49" i="3"/>
  <c r="N49" i="3"/>
  <c r="M49" i="3"/>
  <c r="L49" i="3"/>
  <c r="K49" i="3"/>
  <c r="J49" i="3"/>
  <c r="Q49" i="3" s="1"/>
  <c r="I49" i="3"/>
  <c r="H49" i="3"/>
  <c r="G49" i="3"/>
  <c r="F49" i="3"/>
  <c r="E49" i="3"/>
  <c r="D49" i="3"/>
  <c r="C49" i="3"/>
  <c r="B49" i="3"/>
  <c r="U49" i="3" s="1"/>
  <c r="A49" i="3"/>
  <c r="T48" i="3"/>
  <c r="S48" i="3"/>
  <c r="P48" i="3"/>
  <c r="O48" i="3"/>
  <c r="M48" i="3"/>
  <c r="L48" i="3"/>
  <c r="N48" i="3" s="1"/>
  <c r="R48" i="3" s="1"/>
  <c r="K48" i="3"/>
  <c r="J48" i="3"/>
  <c r="Q48" i="3" s="1"/>
  <c r="I48" i="3"/>
  <c r="H48" i="3"/>
  <c r="G48" i="3"/>
  <c r="F48" i="3"/>
  <c r="E48" i="3"/>
  <c r="D48" i="3"/>
  <c r="C48" i="3"/>
  <c r="B48" i="3"/>
  <c r="U48" i="3" s="1"/>
  <c r="A48" i="3"/>
  <c r="U47" i="3"/>
  <c r="T47" i="3"/>
  <c r="S47" i="3"/>
  <c r="P47" i="3"/>
  <c r="O47" i="3"/>
  <c r="M47" i="3"/>
  <c r="L47" i="3"/>
  <c r="K47" i="3"/>
  <c r="J47" i="3"/>
  <c r="I47" i="3"/>
  <c r="H47" i="3"/>
  <c r="G47" i="3"/>
  <c r="F47" i="3"/>
  <c r="E47" i="3"/>
  <c r="D47" i="3"/>
  <c r="C47" i="3"/>
  <c r="B47" i="3"/>
  <c r="A47" i="3"/>
  <c r="U46" i="3"/>
  <c r="T46" i="3"/>
  <c r="S46" i="3"/>
  <c r="P46" i="3"/>
  <c r="O46" i="3"/>
  <c r="M46" i="3"/>
  <c r="L46" i="3"/>
  <c r="K46" i="3"/>
  <c r="J46" i="3"/>
  <c r="I46" i="3"/>
  <c r="H46" i="3"/>
  <c r="G46" i="3"/>
  <c r="F46" i="3"/>
  <c r="E46" i="3"/>
  <c r="D46" i="3"/>
  <c r="C46" i="3"/>
  <c r="B46" i="3"/>
  <c r="A46" i="3"/>
  <c r="T45" i="3"/>
  <c r="S45" i="3"/>
  <c r="R45" i="3"/>
  <c r="Q45" i="3"/>
  <c r="P45" i="3"/>
  <c r="O45" i="3"/>
  <c r="N45" i="3"/>
  <c r="M45" i="3"/>
  <c r="L45" i="3"/>
  <c r="K45" i="3"/>
  <c r="J45" i="3"/>
  <c r="I45" i="3"/>
  <c r="H45" i="3"/>
  <c r="G45" i="3"/>
  <c r="F45" i="3"/>
  <c r="E45" i="3"/>
  <c r="D45" i="3"/>
  <c r="C45" i="3"/>
  <c r="B45" i="3"/>
  <c r="U45" i="3" s="1"/>
  <c r="A45" i="3"/>
  <c r="T44" i="3"/>
  <c r="S44" i="3"/>
  <c r="P44" i="3"/>
  <c r="Q44" i="3" s="1"/>
  <c r="O44" i="3"/>
  <c r="M44" i="3"/>
  <c r="L44" i="3"/>
  <c r="K44" i="3"/>
  <c r="J44" i="3"/>
  <c r="N44" i="3" s="1"/>
  <c r="R44" i="3" s="1"/>
  <c r="I44" i="3"/>
  <c r="H44" i="3"/>
  <c r="G44" i="3"/>
  <c r="F44" i="3"/>
  <c r="E44" i="3"/>
  <c r="D44" i="3"/>
  <c r="C44" i="3"/>
  <c r="B44" i="3"/>
  <c r="U44" i="3" s="1"/>
  <c r="A44" i="3"/>
  <c r="T43" i="3"/>
  <c r="S43" i="3"/>
  <c r="P43" i="3"/>
  <c r="O43" i="3"/>
  <c r="N43" i="3"/>
  <c r="M43" i="3"/>
  <c r="L43" i="3"/>
  <c r="K43" i="3"/>
  <c r="J43" i="3"/>
  <c r="Q43" i="3" s="1"/>
  <c r="I43" i="3"/>
  <c r="H43" i="3"/>
  <c r="G43" i="3"/>
  <c r="F43" i="3"/>
  <c r="E43" i="3"/>
  <c r="D43" i="3"/>
  <c r="C43" i="3"/>
  <c r="B43" i="3"/>
  <c r="U43" i="3" s="1"/>
  <c r="A43" i="3"/>
  <c r="T42" i="3"/>
  <c r="S42" i="3"/>
  <c r="P42" i="3"/>
  <c r="O42" i="3"/>
  <c r="N42" i="3"/>
  <c r="R42" i="3" s="1"/>
  <c r="M42" i="3"/>
  <c r="L42" i="3"/>
  <c r="K42" i="3"/>
  <c r="J42" i="3"/>
  <c r="Q42" i="3" s="1"/>
  <c r="I42" i="3"/>
  <c r="H42" i="3"/>
  <c r="G42" i="3"/>
  <c r="F42" i="3"/>
  <c r="E42" i="3"/>
  <c r="D42" i="3"/>
  <c r="C42" i="3"/>
  <c r="B42" i="3"/>
  <c r="U42" i="3" s="1"/>
  <c r="A42" i="3"/>
  <c r="U41" i="3"/>
  <c r="T41" i="3"/>
  <c r="S41" i="3"/>
  <c r="P41" i="3"/>
  <c r="O41" i="3"/>
  <c r="M41" i="3"/>
  <c r="L41" i="3"/>
  <c r="K41" i="3"/>
  <c r="J41" i="3"/>
  <c r="I41" i="3"/>
  <c r="H41" i="3"/>
  <c r="G41" i="3"/>
  <c r="F41" i="3"/>
  <c r="E41" i="3"/>
  <c r="D41" i="3"/>
  <c r="C41" i="3"/>
  <c r="B41" i="3"/>
  <c r="A41" i="3"/>
  <c r="U40" i="3"/>
  <c r="T40" i="3"/>
  <c r="S40" i="3"/>
  <c r="P40" i="3"/>
  <c r="O40" i="3"/>
  <c r="M40" i="3"/>
  <c r="L40" i="3"/>
  <c r="K40" i="3"/>
  <c r="J40" i="3"/>
  <c r="I40" i="3"/>
  <c r="H40" i="3"/>
  <c r="G40" i="3"/>
  <c r="F40" i="3"/>
  <c r="E40" i="3"/>
  <c r="D40" i="3"/>
  <c r="C40" i="3"/>
  <c r="B40" i="3"/>
  <c r="A40" i="3"/>
  <c r="T39" i="3"/>
  <c r="S39" i="3"/>
  <c r="R39" i="3"/>
  <c r="Q39" i="3"/>
  <c r="P39" i="3"/>
  <c r="O39" i="3"/>
  <c r="N39" i="3"/>
  <c r="M39" i="3"/>
  <c r="L39" i="3"/>
  <c r="K39" i="3"/>
  <c r="J39" i="3"/>
  <c r="I39" i="3"/>
  <c r="H39" i="3"/>
  <c r="G39" i="3"/>
  <c r="F39" i="3"/>
  <c r="E39" i="3"/>
  <c r="D39" i="3"/>
  <c r="C39" i="3"/>
  <c r="B39" i="3"/>
  <c r="U39" i="3" s="1"/>
  <c r="A39" i="3"/>
  <c r="T38" i="3"/>
  <c r="S38" i="3"/>
  <c r="Q38" i="3"/>
  <c r="P38" i="3"/>
  <c r="O38" i="3"/>
  <c r="M38" i="3"/>
  <c r="L38" i="3"/>
  <c r="K38" i="3"/>
  <c r="J38" i="3"/>
  <c r="N38" i="3" s="1"/>
  <c r="R38" i="3" s="1"/>
  <c r="I38" i="3"/>
  <c r="H38" i="3"/>
  <c r="G38" i="3"/>
  <c r="F38" i="3"/>
  <c r="E38" i="3"/>
  <c r="D38" i="3"/>
  <c r="C38" i="3"/>
  <c r="B38" i="3"/>
  <c r="U38" i="3" s="1"/>
  <c r="A38" i="3"/>
  <c r="T37" i="3"/>
  <c r="S37" i="3"/>
  <c r="P37" i="3"/>
  <c r="O37" i="3"/>
  <c r="N37" i="3"/>
  <c r="M37" i="3"/>
  <c r="L37" i="3"/>
  <c r="K37" i="3"/>
  <c r="J37" i="3"/>
  <c r="I37" i="3"/>
  <c r="H37" i="3"/>
  <c r="G37" i="3"/>
  <c r="F37" i="3"/>
  <c r="E37" i="3"/>
  <c r="D37" i="3"/>
  <c r="C37" i="3"/>
  <c r="B37" i="3"/>
  <c r="U37" i="3" s="1"/>
  <c r="A37" i="3"/>
  <c r="T36" i="3"/>
  <c r="S36" i="3"/>
  <c r="P36" i="3"/>
  <c r="O36" i="3"/>
  <c r="M36" i="3"/>
  <c r="L36" i="3"/>
  <c r="N36" i="3" s="1"/>
  <c r="R36" i="3" s="1"/>
  <c r="K36" i="3"/>
  <c r="J36" i="3"/>
  <c r="Q36" i="3" s="1"/>
  <c r="I36" i="3"/>
  <c r="H36" i="3"/>
  <c r="G36" i="3"/>
  <c r="F36" i="3"/>
  <c r="E36" i="3"/>
  <c r="D36" i="3"/>
  <c r="C36" i="3"/>
  <c r="B36" i="3"/>
  <c r="U36" i="3" s="1"/>
  <c r="A36" i="3"/>
  <c r="U35" i="3"/>
  <c r="T35" i="3"/>
  <c r="S35" i="3"/>
  <c r="P35" i="3"/>
  <c r="O35" i="3"/>
  <c r="M35" i="3"/>
  <c r="L35" i="3"/>
  <c r="K35" i="3"/>
  <c r="J35" i="3"/>
  <c r="I35" i="3"/>
  <c r="H35" i="3"/>
  <c r="G35" i="3"/>
  <c r="F35" i="3"/>
  <c r="E35" i="3"/>
  <c r="D35" i="3"/>
  <c r="C35" i="3"/>
  <c r="B35" i="3"/>
  <c r="A35" i="3"/>
  <c r="U34" i="3"/>
  <c r="T34" i="3"/>
  <c r="S34" i="3"/>
  <c r="P34" i="3"/>
  <c r="O34" i="3"/>
  <c r="M34" i="3"/>
  <c r="L34" i="3"/>
  <c r="K34" i="3"/>
  <c r="J34" i="3"/>
  <c r="I34" i="3"/>
  <c r="H34" i="3"/>
  <c r="G34" i="3"/>
  <c r="F34" i="3"/>
  <c r="E34" i="3"/>
  <c r="D34" i="3"/>
  <c r="C34" i="3"/>
  <c r="B34" i="3"/>
  <c r="A34" i="3"/>
  <c r="T33" i="3"/>
  <c r="S33" i="3"/>
  <c r="R33" i="3"/>
  <c r="Q33" i="3"/>
  <c r="P33" i="3"/>
  <c r="O33" i="3"/>
  <c r="N33" i="3"/>
  <c r="M33" i="3"/>
  <c r="L33" i="3"/>
  <c r="K33" i="3"/>
  <c r="J33" i="3"/>
  <c r="I33" i="3"/>
  <c r="H33" i="3"/>
  <c r="G33" i="3"/>
  <c r="F33" i="3"/>
  <c r="E33" i="3"/>
  <c r="D33" i="3"/>
  <c r="C33" i="3"/>
  <c r="B33" i="3"/>
  <c r="U33" i="3" s="1"/>
  <c r="A33" i="3"/>
  <c r="T32" i="3"/>
  <c r="S32" i="3"/>
  <c r="R32" i="3"/>
  <c r="Q32" i="3"/>
  <c r="P32" i="3"/>
  <c r="O32" i="3"/>
  <c r="M32" i="3"/>
  <c r="L32" i="3"/>
  <c r="K32" i="3"/>
  <c r="J32" i="3"/>
  <c r="N32" i="3" s="1"/>
  <c r="I32" i="3"/>
  <c r="H32" i="3"/>
  <c r="G32" i="3"/>
  <c r="F32" i="3"/>
  <c r="E32" i="3"/>
  <c r="D32" i="3"/>
  <c r="C32" i="3"/>
  <c r="B32" i="3"/>
  <c r="U32" i="3" s="1"/>
  <c r="A32" i="3"/>
  <c r="T31" i="3"/>
  <c r="S31" i="3"/>
  <c r="P31" i="3"/>
  <c r="O31" i="3"/>
  <c r="N31" i="3"/>
  <c r="M31" i="3"/>
  <c r="L31" i="3"/>
  <c r="K31" i="3"/>
  <c r="J31" i="3"/>
  <c r="I31" i="3"/>
  <c r="H31" i="3"/>
  <c r="G31" i="3"/>
  <c r="F31" i="3"/>
  <c r="E31" i="3"/>
  <c r="D31" i="3"/>
  <c r="C31" i="3"/>
  <c r="B31" i="3"/>
  <c r="U31" i="3" s="1"/>
  <c r="A31" i="3"/>
  <c r="T30" i="3"/>
  <c r="S30" i="3"/>
  <c r="O30" i="3"/>
  <c r="M30" i="3"/>
  <c r="L30" i="3"/>
  <c r="N30" i="3" s="1"/>
  <c r="K30" i="3"/>
  <c r="J30" i="3"/>
  <c r="I30" i="3"/>
  <c r="H30" i="3"/>
  <c r="G30" i="3"/>
  <c r="P30" i="3" s="1"/>
  <c r="F30" i="3"/>
  <c r="E30" i="3"/>
  <c r="D30" i="3"/>
  <c r="C30" i="3"/>
  <c r="B30" i="3"/>
  <c r="U30" i="3" s="1"/>
  <c r="A30" i="3"/>
  <c r="U29" i="3"/>
  <c r="T29" i="3"/>
  <c r="S29" i="3"/>
  <c r="P29" i="3"/>
  <c r="O29" i="3"/>
  <c r="M29" i="3"/>
  <c r="L29" i="3"/>
  <c r="K29" i="3"/>
  <c r="J29" i="3"/>
  <c r="I29" i="3"/>
  <c r="H29" i="3"/>
  <c r="G29" i="3"/>
  <c r="F29" i="3"/>
  <c r="E29" i="3"/>
  <c r="D29" i="3"/>
  <c r="C29" i="3"/>
  <c r="B29" i="3"/>
  <c r="A29" i="3"/>
  <c r="U28" i="3"/>
  <c r="T28" i="3"/>
  <c r="S28" i="3"/>
  <c r="P28" i="3"/>
  <c r="O28" i="3"/>
  <c r="M28" i="3"/>
  <c r="L28" i="3"/>
  <c r="K28" i="3"/>
  <c r="J28" i="3"/>
  <c r="I28" i="3"/>
  <c r="H28" i="3"/>
  <c r="G28" i="3"/>
  <c r="F28" i="3"/>
  <c r="E28" i="3"/>
  <c r="D28" i="3"/>
  <c r="C28" i="3"/>
  <c r="B28" i="3"/>
  <c r="A28" i="3"/>
  <c r="T27" i="3"/>
  <c r="S27" i="3"/>
  <c r="R27" i="3"/>
  <c r="O27" i="3"/>
  <c r="N27" i="3"/>
  <c r="M27" i="3"/>
  <c r="L27" i="3"/>
  <c r="K27" i="3"/>
  <c r="J27" i="3"/>
  <c r="I27" i="3"/>
  <c r="H27" i="3"/>
  <c r="G27" i="3"/>
  <c r="P27" i="3" s="1"/>
  <c r="Q27" i="3" s="1"/>
  <c r="F27" i="3"/>
  <c r="E27" i="3"/>
  <c r="D27" i="3"/>
  <c r="C27" i="3"/>
  <c r="B27" i="3"/>
  <c r="U27" i="3" s="1"/>
  <c r="A27" i="3"/>
  <c r="T26" i="3"/>
  <c r="S26" i="3"/>
  <c r="P26" i="3"/>
  <c r="Q26" i="3" s="1"/>
  <c r="O26" i="3"/>
  <c r="M26" i="3"/>
  <c r="L26" i="3"/>
  <c r="K26" i="3"/>
  <c r="J26" i="3"/>
  <c r="N26" i="3" s="1"/>
  <c r="I26" i="3"/>
  <c r="H26" i="3"/>
  <c r="G26" i="3"/>
  <c r="F26" i="3"/>
  <c r="E26" i="3"/>
  <c r="D26" i="3"/>
  <c r="C26" i="3"/>
  <c r="B26" i="3"/>
  <c r="U26" i="3" s="1"/>
  <c r="A26" i="3"/>
  <c r="T25" i="3"/>
  <c r="S25" i="3"/>
  <c r="P25" i="3"/>
  <c r="O25" i="3"/>
  <c r="N25" i="3"/>
  <c r="M25" i="3"/>
  <c r="L25" i="3"/>
  <c r="K25" i="3"/>
  <c r="J25" i="3"/>
  <c r="Q25" i="3" s="1"/>
  <c r="I25" i="3"/>
  <c r="H25" i="3"/>
  <c r="G25" i="3"/>
  <c r="F25" i="3"/>
  <c r="E25" i="3"/>
  <c r="D25" i="3"/>
  <c r="C25" i="3"/>
  <c r="B25" i="3"/>
  <c r="U25" i="3" s="1"/>
  <c r="A25" i="3"/>
  <c r="T24" i="3"/>
  <c r="S24" i="3"/>
  <c r="P24" i="3"/>
  <c r="O24" i="3"/>
  <c r="N24" i="3"/>
  <c r="R24" i="3" s="1"/>
  <c r="M24" i="3"/>
  <c r="L24" i="3"/>
  <c r="K24" i="3"/>
  <c r="J24" i="3"/>
  <c r="Q24" i="3" s="1"/>
  <c r="I24" i="3"/>
  <c r="H24" i="3"/>
  <c r="G24" i="3"/>
  <c r="F24" i="3"/>
  <c r="E24" i="3"/>
  <c r="D24" i="3"/>
  <c r="C24" i="3"/>
  <c r="B24" i="3"/>
  <c r="U24" i="3" s="1"/>
  <c r="A24" i="3"/>
  <c r="U23" i="3"/>
  <c r="T23" i="3"/>
  <c r="S23" i="3"/>
  <c r="P23" i="3"/>
  <c r="O23" i="3"/>
  <c r="M23" i="3"/>
  <c r="L23" i="3"/>
  <c r="K23" i="3"/>
  <c r="J23" i="3"/>
  <c r="I23" i="3"/>
  <c r="H23" i="3"/>
  <c r="G23" i="3"/>
  <c r="F23" i="3"/>
  <c r="E23" i="3"/>
  <c r="D23" i="3"/>
  <c r="C23" i="3"/>
  <c r="B23" i="3"/>
  <c r="A23" i="3"/>
  <c r="U22" i="3"/>
  <c r="T22" i="3"/>
  <c r="S22" i="3"/>
  <c r="P22" i="3"/>
  <c r="O22" i="3"/>
  <c r="M22" i="3"/>
  <c r="L22" i="3"/>
  <c r="K22" i="3"/>
  <c r="J22" i="3"/>
  <c r="I22" i="3"/>
  <c r="H22" i="3"/>
  <c r="G22" i="3"/>
  <c r="F22" i="3"/>
  <c r="E22" i="3"/>
  <c r="D22" i="3"/>
  <c r="C22" i="3"/>
  <c r="B22" i="3"/>
  <c r="A22" i="3"/>
  <c r="T21" i="3"/>
  <c r="S21" i="3"/>
  <c r="O21" i="3"/>
  <c r="N21" i="3"/>
  <c r="M21" i="3"/>
  <c r="L21" i="3"/>
  <c r="K21" i="3"/>
  <c r="J21" i="3"/>
  <c r="I21" i="3"/>
  <c r="H21" i="3"/>
  <c r="G21" i="3"/>
  <c r="P21" i="3" s="1"/>
  <c r="Q21" i="3" s="1"/>
  <c r="R21" i="3" s="1"/>
  <c r="F21" i="3"/>
  <c r="E21" i="3"/>
  <c r="D21" i="3"/>
  <c r="C21" i="3"/>
  <c r="B21" i="3"/>
  <c r="U21" i="3" s="1"/>
  <c r="A21" i="3"/>
  <c r="T20" i="3"/>
  <c r="S20" i="3"/>
  <c r="P20" i="3"/>
  <c r="Q20" i="3" s="1"/>
  <c r="O20" i="3"/>
  <c r="M20" i="3"/>
  <c r="L20" i="3"/>
  <c r="K20" i="3"/>
  <c r="J20" i="3"/>
  <c r="N20" i="3" s="1"/>
  <c r="I20" i="3"/>
  <c r="H20" i="3"/>
  <c r="G20" i="3"/>
  <c r="F20" i="3"/>
  <c r="E20" i="3"/>
  <c r="D20" i="3"/>
  <c r="C20" i="3"/>
  <c r="B20" i="3"/>
  <c r="U20" i="3" s="1"/>
  <c r="A20" i="3"/>
  <c r="T19" i="3"/>
  <c r="S19" i="3"/>
  <c r="P19" i="3"/>
  <c r="O19" i="3"/>
  <c r="N19" i="3"/>
  <c r="M19" i="3"/>
  <c r="L19" i="3"/>
  <c r="K19" i="3"/>
  <c r="J19" i="3"/>
  <c r="I19" i="3"/>
  <c r="H19" i="3"/>
  <c r="G19" i="3"/>
  <c r="F19" i="3"/>
  <c r="E19" i="3"/>
  <c r="D19" i="3"/>
  <c r="C19" i="3"/>
  <c r="B19" i="3"/>
  <c r="U19" i="3" s="1"/>
  <c r="A19" i="3"/>
  <c r="T18" i="3"/>
  <c r="S18" i="3"/>
  <c r="P18" i="3"/>
  <c r="O18" i="3"/>
  <c r="M18" i="3"/>
  <c r="L18" i="3"/>
  <c r="N18" i="3" s="1"/>
  <c r="R18" i="3" s="1"/>
  <c r="K18" i="3"/>
  <c r="J18" i="3"/>
  <c r="Q18" i="3" s="1"/>
  <c r="I18" i="3"/>
  <c r="H18" i="3"/>
  <c r="G18" i="3"/>
  <c r="F18" i="3"/>
  <c r="E18" i="3"/>
  <c r="D18" i="3"/>
  <c r="C18" i="3"/>
  <c r="B18" i="3"/>
  <c r="U18" i="3" s="1"/>
  <c r="A18" i="3"/>
  <c r="U17" i="3"/>
  <c r="T17" i="3"/>
  <c r="S17" i="3"/>
  <c r="P17" i="3"/>
  <c r="O17" i="3"/>
  <c r="M17" i="3"/>
  <c r="L17" i="3"/>
  <c r="K17" i="3"/>
  <c r="J17" i="3"/>
  <c r="I17" i="3"/>
  <c r="H17" i="3"/>
  <c r="G17" i="3"/>
  <c r="F17" i="3"/>
  <c r="E17" i="3"/>
  <c r="D17" i="3"/>
  <c r="C17" i="3"/>
  <c r="B17" i="3"/>
  <c r="A17" i="3"/>
  <c r="U16" i="3"/>
  <c r="T16" i="3"/>
  <c r="S16" i="3"/>
  <c r="P16" i="3"/>
  <c r="O16" i="3"/>
  <c r="M16" i="3"/>
  <c r="L16" i="3"/>
  <c r="K16" i="3"/>
  <c r="J16" i="3"/>
  <c r="I16" i="3"/>
  <c r="H16" i="3"/>
  <c r="G16" i="3"/>
  <c r="F16" i="3"/>
  <c r="E16" i="3"/>
  <c r="D16" i="3"/>
  <c r="C16" i="3"/>
  <c r="B16" i="3"/>
  <c r="A16" i="3"/>
  <c r="T15" i="3"/>
  <c r="S15" i="3"/>
  <c r="O15" i="3"/>
  <c r="N15" i="3"/>
  <c r="M15" i="3"/>
  <c r="L15" i="3"/>
  <c r="K15" i="3"/>
  <c r="J15" i="3"/>
  <c r="I15" i="3"/>
  <c r="H15" i="3"/>
  <c r="G15" i="3"/>
  <c r="P15" i="3" s="1"/>
  <c r="Q15" i="3" s="1"/>
  <c r="R15" i="3" s="1"/>
  <c r="F15" i="3"/>
  <c r="E15" i="3"/>
  <c r="D15" i="3"/>
  <c r="C15" i="3"/>
  <c r="B15" i="3"/>
  <c r="U15" i="3" s="1"/>
  <c r="A15" i="3"/>
  <c r="T14" i="3"/>
  <c r="S14" i="3"/>
  <c r="P14" i="3"/>
  <c r="Q14" i="3" s="1"/>
  <c r="R14" i="3" s="1"/>
  <c r="O14" i="3"/>
  <c r="M14" i="3"/>
  <c r="L14" i="3"/>
  <c r="K14" i="3"/>
  <c r="J14" i="3"/>
  <c r="N14" i="3" s="1"/>
  <c r="I14" i="3"/>
  <c r="H14" i="3"/>
  <c r="G14" i="3"/>
  <c r="F14" i="3"/>
  <c r="E14" i="3"/>
  <c r="D14" i="3"/>
  <c r="C14" i="3"/>
  <c r="B14" i="3"/>
  <c r="U14" i="3" s="1"/>
  <c r="A14" i="3"/>
  <c r="T13" i="3"/>
  <c r="S13" i="3"/>
  <c r="P13" i="3"/>
  <c r="O13" i="3"/>
  <c r="N13" i="3"/>
  <c r="M13" i="3"/>
  <c r="L13" i="3"/>
  <c r="K13" i="3"/>
  <c r="J13" i="3"/>
  <c r="Q13" i="3" s="1"/>
  <c r="I13" i="3"/>
  <c r="H13" i="3"/>
  <c r="G13" i="3"/>
  <c r="F13" i="3"/>
  <c r="E13" i="3"/>
  <c r="D13" i="3"/>
  <c r="C13" i="3"/>
  <c r="B13" i="3"/>
  <c r="U13" i="3" s="1"/>
  <c r="A13" i="3"/>
  <c r="T12" i="3"/>
  <c r="S12" i="3"/>
  <c r="P12" i="3"/>
  <c r="O12" i="3"/>
  <c r="M12" i="3"/>
  <c r="L12" i="3"/>
  <c r="N12" i="3" s="1"/>
  <c r="R12" i="3" s="1"/>
  <c r="K12" i="3"/>
  <c r="J12" i="3"/>
  <c r="Q12" i="3" s="1"/>
  <c r="I12" i="3"/>
  <c r="H12" i="3"/>
  <c r="G12" i="3"/>
  <c r="F12" i="3"/>
  <c r="E12" i="3"/>
  <c r="D12" i="3"/>
  <c r="C12" i="3"/>
  <c r="B12" i="3"/>
  <c r="U12" i="3" s="1"/>
  <c r="A12" i="3"/>
  <c r="U11" i="3"/>
  <c r="T11" i="3"/>
  <c r="S11" i="3"/>
  <c r="P11" i="3"/>
  <c r="O11" i="3"/>
  <c r="M11" i="3"/>
  <c r="L11" i="3"/>
  <c r="K11" i="3"/>
  <c r="J11" i="3"/>
  <c r="I11" i="3"/>
  <c r="H11" i="3"/>
  <c r="G11" i="3"/>
  <c r="F11" i="3"/>
  <c r="E11" i="3"/>
  <c r="D11" i="3"/>
  <c r="C11" i="3"/>
  <c r="B11" i="3"/>
  <c r="A11" i="3"/>
  <c r="U10" i="3"/>
  <c r="T10" i="3"/>
  <c r="S10" i="3"/>
  <c r="P10" i="3"/>
  <c r="O10" i="3"/>
  <c r="M10" i="3"/>
  <c r="L10" i="3"/>
  <c r="K10" i="3"/>
  <c r="J10" i="3"/>
  <c r="I10" i="3"/>
  <c r="H10" i="3"/>
  <c r="G10" i="3"/>
  <c r="F10" i="3"/>
  <c r="E10" i="3"/>
  <c r="D10" i="3"/>
  <c r="C10" i="3"/>
  <c r="B10" i="3"/>
  <c r="A10" i="3"/>
  <c r="T9" i="3"/>
  <c r="S9" i="3"/>
  <c r="Q9" i="3"/>
  <c r="R9" i="3" s="1"/>
  <c r="P9" i="3"/>
  <c r="O9" i="3"/>
  <c r="N9" i="3"/>
  <c r="M9" i="3"/>
  <c r="L9" i="3"/>
  <c r="K9" i="3"/>
  <c r="J9" i="3"/>
  <c r="I9" i="3"/>
  <c r="H9" i="3"/>
  <c r="G9" i="3"/>
  <c r="F9" i="3"/>
  <c r="E9" i="3"/>
  <c r="D9" i="3"/>
  <c r="C9" i="3"/>
  <c r="B9" i="3"/>
  <c r="U9" i="3" s="1"/>
  <c r="A9" i="3"/>
  <c r="T8" i="3"/>
  <c r="S8" i="3"/>
  <c r="P8" i="3"/>
  <c r="Q8" i="3" s="1"/>
  <c r="O8" i="3"/>
  <c r="M8" i="3"/>
  <c r="L8" i="3"/>
  <c r="K8" i="3"/>
  <c r="J8" i="3"/>
  <c r="N8" i="3" s="1"/>
  <c r="I8" i="3"/>
  <c r="H8" i="3"/>
  <c r="G8" i="3"/>
  <c r="F8" i="3"/>
  <c r="E8" i="3"/>
  <c r="D8" i="3"/>
  <c r="C8" i="3"/>
  <c r="B8" i="3"/>
  <c r="U8" i="3" s="1"/>
  <c r="A8" i="3"/>
  <c r="T7" i="3"/>
  <c r="S7" i="3"/>
  <c r="P7" i="3"/>
  <c r="O7" i="3"/>
  <c r="M7" i="3"/>
  <c r="L7" i="3"/>
  <c r="K7" i="3"/>
  <c r="J7" i="3"/>
  <c r="Q7" i="3" s="1"/>
  <c r="I7" i="3"/>
  <c r="H7" i="3"/>
  <c r="G7" i="3"/>
  <c r="F7" i="3"/>
  <c r="E7" i="3"/>
  <c r="D7" i="3"/>
  <c r="C7" i="3"/>
  <c r="B7" i="3"/>
  <c r="U7" i="3" s="1"/>
  <c r="A7" i="3"/>
  <c r="T6" i="3"/>
  <c r="S6" i="3"/>
  <c r="P6" i="3"/>
  <c r="O6" i="3"/>
  <c r="N6" i="3"/>
  <c r="R6" i="3" s="1"/>
  <c r="M6" i="3"/>
  <c r="L6" i="3"/>
  <c r="K6" i="3"/>
  <c r="J6" i="3"/>
  <c r="Q6" i="3" s="1"/>
  <c r="I6" i="3"/>
  <c r="H6" i="3"/>
  <c r="G6" i="3"/>
  <c r="F6" i="3"/>
  <c r="E6" i="3"/>
  <c r="D6" i="3"/>
  <c r="C6" i="3"/>
  <c r="B6" i="3"/>
  <c r="U6" i="3" s="1"/>
  <c r="A6" i="3"/>
  <c r="U5" i="3"/>
  <c r="T5" i="3"/>
  <c r="S5" i="3"/>
  <c r="P5" i="3"/>
  <c r="O5" i="3"/>
  <c r="M5" i="3"/>
  <c r="L5" i="3"/>
  <c r="K5" i="3"/>
  <c r="J5" i="3"/>
  <c r="I5" i="3"/>
  <c r="H5" i="3"/>
  <c r="G5" i="3"/>
  <c r="F5" i="3"/>
  <c r="E5" i="3"/>
  <c r="D5" i="3"/>
  <c r="C5" i="3"/>
  <c r="B5" i="3"/>
  <c r="A5" i="3"/>
  <c r="U4" i="3"/>
  <c r="T4" i="3"/>
  <c r="S4" i="3"/>
  <c r="P4" i="3"/>
  <c r="O4" i="3"/>
  <c r="M4" i="3"/>
  <c r="L4" i="3"/>
  <c r="K4" i="3"/>
  <c r="J4" i="3"/>
  <c r="I4" i="3"/>
  <c r="H4" i="3"/>
  <c r="G4" i="3"/>
  <c r="F4" i="3"/>
  <c r="E4" i="3"/>
  <c r="D4" i="3"/>
  <c r="C4" i="3"/>
  <c r="B4" i="3"/>
  <c r="A4" i="3"/>
  <c r="T3" i="3"/>
  <c r="S3" i="3"/>
  <c r="Q3" i="3"/>
  <c r="P3" i="3"/>
  <c r="O3" i="3"/>
  <c r="N3" i="3"/>
  <c r="R3" i="3" s="1"/>
  <c r="M3" i="3"/>
  <c r="L3" i="3"/>
  <c r="K3" i="3"/>
  <c r="J3" i="3"/>
  <c r="I3" i="3"/>
  <c r="H3" i="3"/>
  <c r="G3" i="3"/>
  <c r="F3" i="3"/>
  <c r="E3" i="3"/>
  <c r="D3" i="3"/>
  <c r="C3" i="3"/>
  <c r="B3" i="3"/>
  <c r="U3" i="3" s="1"/>
  <c r="A3" i="3"/>
  <c r="T2" i="3"/>
  <c r="S2" i="3"/>
  <c r="P2" i="3"/>
  <c r="O2" i="3"/>
  <c r="M2" i="3"/>
  <c r="L2" i="3"/>
  <c r="K2" i="3"/>
  <c r="J2" i="3"/>
  <c r="Q2" i="3" s="1"/>
  <c r="I2" i="3"/>
  <c r="H2" i="3"/>
  <c r="G2" i="3"/>
  <c r="F2" i="3"/>
  <c r="E2" i="3"/>
  <c r="D2" i="3"/>
  <c r="C2" i="3"/>
  <c r="B2" i="3"/>
  <c r="U2" i="3" s="1"/>
  <c r="A2" i="3"/>
  <c r="R20" i="3" l="1"/>
  <c r="R8" i="3"/>
  <c r="R26" i="3"/>
  <c r="N46" i="3"/>
  <c r="R46" i="3" s="1"/>
  <c r="Q46" i="3"/>
  <c r="N70" i="3"/>
  <c r="Q70" i="3"/>
  <c r="Q203" i="3"/>
  <c r="N203" i="3"/>
  <c r="R203" i="3" s="1"/>
  <c r="Q252" i="3"/>
  <c r="N252" i="3"/>
  <c r="R252" i="3" s="1"/>
  <c r="Q263" i="3"/>
  <c r="N263" i="3"/>
  <c r="R88" i="3"/>
  <c r="N95" i="3"/>
  <c r="R95" i="3" s="1"/>
  <c r="Q95" i="3"/>
  <c r="Q141" i="3"/>
  <c r="N141" i="3"/>
  <c r="R141" i="3" s="1"/>
  <c r="R201" i="3"/>
  <c r="R215" i="3"/>
  <c r="R268" i="3"/>
  <c r="N274" i="3"/>
  <c r="R274" i="3" s="1"/>
  <c r="Q274" i="3"/>
  <c r="Q23" i="3"/>
  <c r="N23" i="3"/>
  <c r="R23" i="3" s="1"/>
  <c r="N28" i="3"/>
  <c r="R28" i="3" s="1"/>
  <c r="Q28" i="3"/>
  <c r="Q65" i="3"/>
  <c r="N65" i="3"/>
  <c r="R65" i="3" s="1"/>
  <c r="R159" i="3"/>
  <c r="N175" i="3"/>
  <c r="R175" i="3" s="1"/>
  <c r="Q175" i="3"/>
  <c r="Q298" i="3"/>
  <c r="N298" i="3"/>
  <c r="R298" i="3" s="1"/>
  <c r="Q59" i="3"/>
  <c r="N59" i="3"/>
  <c r="Q17" i="3"/>
  <c r="N17" i="3"/>
  <c r="N22" i="3"/>
  <c r="Q22" i="3"/>
  <c r="Q37" i="3"/>
  <c r="R37" i="3" s="1"/>
  <c r="N40" i="3"/>
  <c r="Q40" i="3"/>
  <c r="Q61" i="3"/>
  <c r="N64" i="3"/>
  <c r="Q64" i="3"/>
  <c r="R83" i="3"/>
  <c r="N103" i="3"/>
  <c r="R103" i="3" s="1"/>
  <c r="Q103" i="3"/>
  <c r="Q117" i="3"/>
  <c r="N117" i="3"/>
  <c r="N182" i="3"/>
  <c r="R182" i="3" s="1"/>
  <c r="Q217" i="3"/>
  <c r="N217" i="3"/>
  <c r="R217" i="3" s="1"/>
  <c r="Q35" i="3"/>
  <c r="N35" i="3"/>
  <c r="R35" i="3" s="1"/>
  <c r="R49" i="3"/>
  <c r="N106" i="3"/>
  <c r="Q106" i="3"/>
  <c r="Q4" i="3"/>
  <c r="R13" i="3"/>
  <c r="R25" i="3"/>
  <c r="R43" i="3"/>
  <c r="Q53" i="3"/>
  <c r="N53" i="3"/>
  <c r="R53" i="3" s="1"/>
  <c r="R67" i="3"/>
  <c r="R97" i="3"/>
  <c r="R200" i="3"/>
  <c r="R219" i="3"/>
  <c r="Q249" i="3"/>
  <c r="N249" i="3"/>
  <c r="R283" i="3"/>
  <c r="N7" i="3"/>
  <c r="R7" i="3" s="1"/>
  <c r="Q19" i="3"/>
  <c r="R72" i="3"/>
  <c r="Q171" i="3"/>
  <c r="N171" i="3"/>
  <c r="Q5" i="3"/>
  <c r="N5" i="3"/>
  <c r="Q41" i="3"/>
  <c r="N41" i="3"/>
  <c r="R41" i="3" s="1"/>
  <c r="R55" i="3"/>
  <c r="Q30" i="3"/>
  <c r="R30" i="3" s="1"/>
  <c r="N10" i="3"/>
  <c r="R10" i="3" s="1"/>
  <c r="Q10" i="3"/>
  <c r="Q29" i="3"/>
  <c r="N29" i="3"/>
  <c r="R29" i="3" s="1"/>
  <c r="N4" i="3"/>
  <c r="R4" i="3" s="1"/>
  <c r="Q31" i="3"/>
  <c r="R31" i="3" s="1"/>
  <c r="N34" i="3"/>
  <c r="R34" i="3" s="1"/>
  <c r="Q34" i="3"/>
  <c r="Q55" i="3"/>
  <c r="N58" i="3"/>
  <c r="Q58" i="3"/>
  <c r="N124" i="3"/>
  <c r="R124" i="3" s="1"/>
  <c r="Q124" i="3"/>
  <c r="R132" i="3"/>
  <c r="N148" i="3"/>
  <c r="R148" i="3" s="1"/>
  <c r="R151" i="3"/>
  <c r="R214" i="3"/>
  <c r="Q225" i="3"/>
  <c r="N225" i="3"/>
  <c r="R225" i="3" s="1"/>
  <c r="Q47" i="3"/>
  <c r="N47" i="3"/>
  <c r="R47" i="3" s="1"/>
  <c r="R61" i="3"/>
  <c r="Q71" i="3"/>
  <c r="N71" i="3"/>
  <c r="Q76" i="3"/>
  <c r="N76" i="3"/>
  <c r="R76" i="3" s="1"/>
  <c r="N181" i="3"/>
  <c r="R181" i="3" s="1"/>
  <c r="Q181" i="3"/>
  <c r="R220" i="3"/>
  <c r="R223" i="3"/>
  <c r="Q244" i="3"/>
  <c r="N244" i="3"/>
  <c r="R244" i="3" s="1"/>
  <c r="Q11" i="3"/>
  <c r="N11" i="3"/>
  <c r="R11" i="3" s="1"/>
  <c r="N16" i="3"/>
  <c r="R16" i="3" s="1"/>
  <c r="Q16" i="3"/>
  <c r="Q91" i="3"/>
  <c r="N91" i="3"/>
  <c r="R91" i="3" s="1"/>
  <c r="N121" i="3"/>
  <c r="R121" i="3" s="1"/>
  <c r="Q121" i="3"/>
  <c r="N145" i="3"/>
  <c r="R145" i="3" s="1"/>
  <c r="Q145" i="3"/>
  <c r="R179" i="3"/>
  <c r="N211" i="3"/>
  <c r="Q211" i="3"/>
  <c r="R227" i="3"/>
  <c r="R229" i="3"/>
  <c r="Q239" i="3"/>
  <c r="N239" i="3"/>
  <c r="R239" i="3" s="1"/>
  <c r="N2" i="3"/>
  <c r="R19" i="3"/>
  <c r="N52" i="3"/>
  <c r="Q52" i="3"/>
  <c r="R73" i="3"/>
  <c r="Q81" i="3"/>
  <c r="N81" i="3"/>
  <c r="R81" i="3" s="1"/>
  <c r="N86" i="3"/>
  <c r="Q86" i="3"/>
  <c r="Q99" i="3"/>
  <c r="N99" i="3"/>
  <c r="R162" i="3"/>
  <c r="N178" i="3"/>
  <c r="R178" i="3" s="1"/>
  <c r="Q222" i="3"/>
  <c r="N222" i="3"/>
  <c r="Q130" i="3"/>
  <c r="R130" i="3" s="1"/>
  <c r="Q151" i="3"/>
  <c r="R180" i="3"/>
  <c r="R213" i="3"/>
  <c r="Q238" i="3"/>
  <c r="R238" i="3" s="1"/>
  <c r="N248" i="3"/>
  <c r="R248" i="3" s="1"/>
  <c r="Q275" i="3"/>
  <c r="N275" i="3"/>
  <c r="R275" i="3" s="1"/>
  <c r="Q301" i="3"/>
  <c r="N301" i="3"/>
  <c r="R301" i="3" s="1"/>
  <c r="Q80" i="3"/>
  <c r="R80" i="3" s="1"/>
  <c r="Q85" i="3"/>
  <c r="R85" i="3" s="1"/>
  <c r="Q90" i="3"/>
  <c r="R90" i="3" s="1"/>
  <c r="N100" i="3"/>
  <c r="N104" i="3"/>
  <c r="R104" i="3" s="1"/>
  <c r="N105" i="3"/>
  <c r="R105" i="3" s="1"/>
  <c r="N118" i="3"/>
  <c r="R118" i="3" s="1"/>
  <c r="N122" i="3"/>
  <c r="R122" i="3" s="1"/>
  <c r="N123" i="3"/>
  <c r="R123" i="3" s="1"/>
  <c r="N142" i="3"/>
  <c r="R142" i="3" s="1"/>
  <c r="N146" i="3"/>
  <c r="R146" i="3" s="1"/>
  <c r="R150" i="3"/>
  <c r="Q159" i="3"/>
  <c r="N172" i="3"/>
  <c r="R172" i="3" s="1"/>
  <c r="N176" i="3"/>
  <c r="R176" i="3" s="1"/>
  <c r="Q189" i="3"/>
  <c r="R189" i="3" s="1"/>
  <c r="N199" i="3"/>
  <c r="R199" i="3" s="1"/>
  <c r="N212" i="3"/>
  <c r="R212" i="3" s="1"/>
  <c r="R224" i="3"/>
  <c r="Q234" i="3"/>
  <c r="N234" i="3"/>
  <c r="N262" i="3"/>
  <c r="R262" i="3" s="1"/>
  <c r="R278" i="3"/>
  <c r="N367" i="3"/>
  <c r="Q367" i="3"/>
  <c r="R108" i="3"/>
  <c r="R126" i="3"/>
  <c r="Q198" i="3"/>
  <c r="N198" i="3"/>
  <c r="R198" i="3" s="1"/>
  <c r="Q261" i="3"/>
  <c r="N261" i="3"/>
  <c r="R272" i="3"/>
  <c r="Q285" i="3"/>
  <c r="R285" i="3" s="1"/>
  <c r="Q288" i="3"/>
  <c r="N288" i="3"/>
  <c r="R288" i="3" s="1"/>
  <c r="R296" i="3"/>
  <c r="R308" i="3"/>
  <c r="Q310" i="3"/>
  <c r="N310" i="3"/>
  <c r="N355" i="3"/>
  <c r="Q355" i="3"/>
  <c r="N253" i="3"/>
  <c r="R253" i="3" s="1"/>
  <c r="Q256" i="3"/>
  <c r="R256" i="3" s="1"/>
  <c r="N266" i="3"/>
  <c r="R266" i="3" s="1"/>
  <c r="Q293" i="3"/>
  <c r="N293" i="3"/>
  <c r="R293" i="3" s="1"/>
  <c r="Q305" i="3"/>
  <c r="N305" i="3"/>
  <c r="Q328" i="3"/>
  <c r="N328" i="3"/>
  <c r="N331" i="3"/>
  <c r="R331" i="3" s="1"/>
  <c r="R396" i="3"/>
  <c r="R96" i="3"/>
  <c r="R114" i="3"/>
  <c r="N135" i="3"/>
  <c r="R135" i="3" s="1"/>
  <c r="R184" i="3"/>
  <c r="N195" i="3"/>
  <c r="R195" i="3" s="1"/>
  <c r="N209" i="3"/>
  <c r="R209" i="3" s="1"/>
  <c r="Q279" i="3"/>
  <c r="N279" i="3"/>
  <c r="Q295" i="3"/>
  <c r="N295" i="3"/>
  <c r="R295" i="3" s="1"/>
  <c r="Q307" i="3"/>
  <c r="N307" i="3"/>
  <c r="Q330" i="3"/>
  <c r="N330" i="3"/>
  <c r="R330" i="3" s="1"/>
  <c r="Q352" i="3"/>
  <c r="N352" i="3"/>
  <c r="R352" i="3" s="1"/>
  <c r="R426" i="3"/>
  <c r="Q100" i="3"/>
  <c r="Q118" i="3"/>
  <c r="R138" i="3"/>
  <c r="N154" i="3"/>
  <c r="R154" i="3" s="1"/>
  <c r="R168" i="3"/>
  <c r="N194" i="3"/>
  <c r="R194" i="3" s="1"/>
  <c r="R206" i="3"/>
  <c r="Q220" i="3"/>
  <c r="N230" i="3"/>
  <c r="R230" i="3" s="1"/>
  <c r="N254" i="3"/>
  <c r="R254" i="3" s="1"/>
  <c r="Q257" i="3"/>
  <c r="N257" i="3"/>
  <c r="Q273" i="3"/>
  <c r="R273" i="3" s="1"/>
  <c r="Q291" i="3"/>
  <c r="R291" i="3" s="1"/>
  <c r="N94" i="3"/>
  <c r="R94" i="3" s="1"/>
  <c r="N133" i="3"/>
  <c r="R133" i="3" s="1"/>
  <c r="N157" i="3"/>
  <c r="R157" i="3" s="1"/>
  <c r="N160" i="3"/>
  <c r="R160" i="3" s="1"/>
  <c r="N187" i="3"/>
  <c r="R187" i="3" s="1"/>
  <c r="N190" i="3"/>
  <c r="R190" i="3" s="1"/>
  <c r="Q213" i="3"/>
  <c r="Q216" i="3"/>
  <c r="N216" i="3"/>
  <c r="R216" i="3" s="1"/>
  <c r="Q227" i="3"/>
  <c r="R284" i="3"/>
  <c r="R302" i="3"/>
  <c r="Q322" i="3"/>
  <c r="N322" i="3"/>
  <c r="R322" i="3" s="1"/>
  <c r="N349" i="3"/>
  <c r="Q349" i="3"/>
  <c r="Q354" i="3"/>
  <c r="N354" i="3"/>
  <c r="N391" i="3"/>
  <c r="Q391" i="3"/>
  <c r="R415" i="3"/>
  <c r="N112" i="3"/>
  <c r="R112" i="3" s="1"/>
  <c r="R233" i="3"/>
  <c r="N271" i="3"/>
  <c r="R271" i="3" s="1"/>
  <c r="Q281" i="3"/>
  <c r="R281" i="3" s="1"/>
  <c r="Q304" i="3"/>
  <c r="N304" i="3"/>
  <c r="R304" i="3" s="1"/>
  <c r="Q311" i="3"/>
  <c r="N311" i="3"/>
  <c r="N325" i="3"/>
  <c r="R325" i="3" s="1"/>
  <c r="R332" i="3"/>
  <c r="N75" i="3"/>
  <c r="R75" i="3" s="1"/>
  <c r="R120" i="3"/>
  <c r="N136" i="3"/>
  <c r="R136" i="3" s="1"/>
  <c r="N140" i="3"/>
  <c r="R140" i="3" s="1"/>
  <c r="R144" i="3"/>
  <c r="N163" i="3"/>
  <c r="R163" i="3" s="1"/>
  <c r="N166" i="3"/>
  <c r="R166" i="3" s="1"/>
  <c r="N170" i="3"/>
  <c r="R170" i="3" s="1"/>
  <c r="R174" i="3"/>
  <c r="N193" i="3"/>
  <c r="R193" i="3" s="1"/>
  <c r="N208" i="3"/>
  <c r="R208" i="3" s="1"/>
  <c r="N218" i="3"/>
  <c r="R218" i="3" s="1"/>
  <c r="Q221" i="3"/>
  <c r="N221" i="3"/>
  <c r="Q237" i="3"/>
  <c r="R237" i="3" s="1"/>
  <c r="Q243" i="3"/>
  <c r="N243" i="3"/>
  <c r="R260" i="3"/>
  <c r="Q270" i="3"/>
  <c r="N270" i="3"/>
  <c r="R270" i="3" s="1"/>
  <c r="Q299" i="3"/>
  <c r="N299" i="3"/>
  <c r="Q370" i="3"/>
  <c r="N370" i="3"/>
  <c r="R370" i="3" s="1"/>
  <c r="Q93" i="3"/>
  <c r="R93" i="3" s="1"/>
  <c r="Q201" i="3"/>
  <c r="Q207" i="3"/>
  <c r="N207" i="3"/>
  <c r="Q324" i="3"/>
  <c r="N324" i="3"/>
  <c r="R324" i="3" s="1"/>
  <c r="Q346" i="3"/>
  <c r="N346" i="3"/>
  <c r="R346" i="3" s="1"/>
  <c r="Q197" i="3"/>
  <c r="R197" i="3" s="1"/>
  <c r="Q215" i="3"/>
  <c r="Q233" i="3"/>
  <c r="Q251" i="3"/>
  <c r="R251" i="3" s="1"/>
  <c r="Q269" i="3"/>
  <c r="R269" i="3" s="1"/>
  <c r="Q340" i="3"/>
  <c r="N340" i="3"/>
  <c r="R340" i="3" s="1"/>
  <c r="N361" i="3"/>
  <c r="R361" i="3" s="1"/>
  <c r="Q361" i="3"/>
  <c r="Q388" i="3"/>
  <c r="Q329" i="3"/>
  <c r="N329" i="3"/>
  <c r="Q376" i="3"/>
  <c r="N376" i="3"/>
  <c r="R376" i="3" s="1"/>
  <c r="Q323" i="3"/>
  <c r="N323" i="3"/>
  <c r="R323" i="3" s="1"/>
  <c r="N337" i="3"/>
  <c r="Q337" i="3"/>
  <c r="Q358" i="3"/>
  <c r="N358" i="3"/>
  <c r="R390" i="3"/>
  <c r="R427" i="3"/>
  <c r="Q317" i="3"/>
  <c r="N317" i="3"/>
  <c r="Q334" i="3"/>
  <c r="N334" i="3"/>
  <c r="R334" i="3" s="1"/>
  <c r="R351" i="3"/>
  <c r="R369" i="3"/>
  <c r="R403" i="3"/>
  <c r="R420" i="3"/>
  <c r="N373" i="3"/>
  <c r="R373" i="3" s="1"/>
  <c r="Q373" i="3"/>
  <c r="R381" i="3"/>
  <c r="N385" i="3"/>
  <c r="Q385" i="3"/>
  <c r="R392" i="3"/>
  <c r="Q394" i="3"/>
  <c r="R431" i="3"/>
  <c r="Q313" i="3"/>
  <c r="Q316" i="3"/>
  <c r="N316" i="3"/>
  <c r="Q357" i="3"/>
  <c r="R357" i="3" s="1"/>
  <c r="R363" i="3"/>
  <c r="R378" i="3"/>
  <c r="Q382" i="3"/>
  <c r="R402" i="3"/>
  <c r="R387" i="3"/>
  <c r="Q364" i="3"/>
  <c r="N364" i="3"/>
  <c r="R364" i="3" s="1"/>
  <c r="R375" i="3"/>
  <c r="N379" i="3"/>
  <c r="Q379" i="3"/>
  <c r="R419" i="3"/>
  <c r="Q287" i="3"/>
  <c r="R287" i="3" s="1"/>
  <c r="N313" i="3"/>
  <c r="N336" i="3"/>
  <c r="R336" i="3" s="1"/>
  <c r="N343" i="3"/>
  <c r="R343" i="3" s="1"/>
  <c r="Q343" i="3"/>
  <c r="Q351" i="3"/>
  <c r="Q369" i="3"/>
  <c r="R404" i="3"/>
  <c r="R421" i="3"/>
  <c r="N335" i="3"/>
  <c r="R335" i="3" s="1"/>
  <c r="N341" i="3"/>
  <c r="R341" i="3" s="1"/>
  <c r="N347" i="3"/>
  <c r="R347" i="3" s="1"/>
  <c r="N353" i="3"/>
  <c r="R353" i="3" s="1"/>
  <c r="N359" i="3"/>
  <c r="R359" i="3" s="1"/>
  <c r="N365" i="3"/>
  <c r="R365" i="3" s="1"/>
  <c r="N371" i="3"/>
  <c r="R371" i="3" s="1"/>
  <c r="N377" i="3"/>
  <c r="R377" i="3" s="1"/>
  <c r="N383" i="3"/>
  <c r="R383" i="3" s="1"/>
  <c r="N389" i="3"/>
  <c r="R389" i="3" s="1"/>
  <c r="N395" i="3"/>
  <c r="R395" i="3" s="1"/>
  <c r="N401" i="3"/>
  <c r="R401" i="3" s="1"/>
  <c r="N407" i="3"/>
  <c r="R407" i="3" s="1"/>
  <c r="Q390" i="3"/>
  <c r="Q396" i="3"/>
  <c r="Q402" i="3"/>
  <c r="Q408" i="3"/>
  <c r="R408" i="3" s="1"/>
  <c r="Q414" i="3"/>
  <c r="R414" i="3" s="1"/>
  <c r="Q420" i="3"/>
  <c r="Q426" i="3"/>
  <c r="Q432" i="3"/>
  <c r="R432" i="3" s="1"/>
  <c r="N382" i="3"/>
  <c r="R382" i="3" s="1"/>
  <c r="N388" i="3"/>
  <c r="R388" i="3" s="1"/>
  <c r="N394" i="3"/>
  <c r="R394" i="3" s="1"/>
  <c r="N400" i="3"/>
  <c r="R400" i="3" s="1"/>
  <c r="N406" i="3"/>
  <c r="R406" i="3" s="1"/>
  <c r="N412" i="3"/>
  <c r="R412" i="3" s="1"/>
  <c r="N418" i="3"/>
  <c r="R418" i="3" s="1"/>
  <c r="N424" i="3"/>
  <c r="R424" i="3" s="1"/>
  <c r="N430" i="3"/>
  <c r="R430" i="3" s="1"/>
  <c r="N399" i="3"/>
  <c r="R399" i="3" s="1"/>
  <c r="N405" i="3"/>
  <c r="R405" i="3" s="1"/>
  <c r="N411" i="3"/>
  <c r="R411" i="3" s="1"/>
  <c r="N417" i="3"/>
  <c r="R417" i="3" s="1"/>
  <c r="N423" i="3"/>
  <c r="R423" i="3" s="1"/>
  <c r="N429" i="3"/>
  <c r="R429" i="3" s="1"/>
  <c r="R379" i="3" l="1"/>
  <c r="R316" i="3"/>
  <c r="R337" i="3"/>
  <c r="R221" i="3"/>
  <c r="R257" i="3"/>
  <c r="R305" i="3"/>
  <c r="R367" i="3"/>
  <c r="R222" i="3"/>
  <c r="R52" i="3"/>
  <c r="R171" i="3"/>
  <c r="R249" i="3"/>
  <c r="R40" i="3"/>
  <c r="R117" i="3"/>
  <c r="R22" i="3"/>
  <c r="R70" i="3"/>
  <c r="R2" i="3"/>
  <c r="R391" i="3"/>
  <c r="R299" i="3"/>
  <c r="R354" i="3"/>
  <c r="R234" i="3"/>
  <c r="R99" i="3"/>
  <c r="R71" i="3"/>
  <c r="R17" i="3"/>
  <c r="R59" i="3"/>
  <c r="R349" i="3"/>
  <c r="R86" i="3"/>
  <c r="R317" i="3"/>
  <c r="R329" i="3"/>
  <c r="R311" i="3"/>
  <c r="R307" i="3"/>
  <c r="R261" i="3"/>
  <c r="R263" i="3"/>
  <c r="R385" i="3"/>
  <c r="R106" i="3"/>
  <c r="R355" i="3"/>
  <c r="R211" i="3"/>
  <c r="R58" i="3"/>
  <c r="R358" i="3"/>
  <c r="R243" i="3"/>
  <c r="R310" i="3"/>
  <c r="R100" i="3"/>
  <c r="R64" i="3"/>
  <c r="R313" i="3"/>
  <c r="R207" i="3"/>
  <c r="R279" i="3"/>
  <c r="R328" i="3"/>
  <c r="R5" i="3"/>
</calcChain>
</file>

<file path=xl/sharedStrings.xml><?xml version="1.0" encoding="utf-8"?>
<sst xmlns="http://schemas.openxmlformats.org/spreadsheetml/2006/main" count="4012" uniqueCount="269">
  <si>
    <t>Date</t>
  </si>
  <si>
    <t>State</t>
  </si>
  <si>
    <t>Channel</t>
  </si>
  <si>
    <t>Product Category</t>
  </si>
  <si>
    <t>Product</t>
  </si>
  <si>
    <t>Units</t>
  </si>
  <si>
    <t>AB-02</t>
  </si>
  <si>
    <t>Abuja</t>
  </si>
  <si>
    <t>WhatsApp</t>
  </si>
  <si>
    <t>Home</t>
  </si>
  <si>
    <t>Standing Fan</t>
  </si>
  <si>
    <t>C1141</t>
  </si>
  <si>
    <t>New</t>
  </si>
  <si>
    <t>No</t>
  </si>
  <si>
    <t>Chinedu</t>
  </si>
  <si>
    <t>LG-01</t>
  </si>
  <si>
    <t>Lagos</t>
  </si>
  <si>
    <t>Electronics</t>
  </si>
  <si>
    <t>Smartphone</t>
  </si>
  <si>
    <t>C1083</t>
  </si>
  <si>
    <t>Returning</t>
  </si>
  <si>
    <t>Kemi</t>
  </si>
  <si>
    <t>AB-01</t>
  </si>
  <si>
    <t>Earbuds</t>
  </si>
  <si>
    <t>C1029</t>
  </si>
  <si>
    <t>KN-01</t>
  </si>
  <si>
    <t>Kano</t>
  </si>
  <si>
    <t>Online</t>
  </si>
  <si>
    <t>Power Bank</t>
  </si>
  <si>
    <t>C1082</t>
  </si>
  <si>
    <t>Grace</t>
  </si>
  <si>
    <t>C1180</t>
  </si>
  <si>
    <t>LG-02</t>
  </si>
  <si>
    <t>In-store</t>
  </si>
  <si>
    <t>Accessories</t>
  </si>
  <si>
    <t>USB Cable</t>
  </si>
  <si>
    <t>C1161</t>
  </si>
  <si>
    <t>Bola</t>
  </si>
  <si>
    <t>C1007</t>
  </si>
  <si>
    <t>C1051</t>
  </si>
  <si>
    <t>IB-01</t>
  </si>
  <si>
    <t>Ibadan</t>
  </si>
  <si>
    <t>Blender</t>
  </si>
  <si>
    <t>C1111</t>
  </si>
  <si>
    <t>Fatima</t>
  </si>
  <si>
    <t>PH-01</t>
  </si>
  <si>
    <t>Port Harcourt</t>
  </si>
  <si>
    <t>C1153</t>
  </si>
  <si>
    <t>David</t>
  </si>
  <si>
    <t>C1059</t>
  </si>
  <si>
    <t>Phone Case</t>
  </si>
  <si>
    <t>C1028</t>
  </si>
  <si>
    <t>Electric Kettle</t>
  </si>
  <si>
    <t>C1192</t>
  </si>
  <si>
    <t>Ibrahim</t>
  </si>
  <si>
    <t>Backpack</t>
  </si>
  <si>
    <t>C1022</t>
  </si>
  <si>
    <t>C1084</t>
  </si>
  <si>
    <t>C1123</t>
  </si>
  <si>
    <t>C1134</t>
  </si>
  <si>
    <t>C1100</t>
  </si>
  <si>
    <t>C1189</t>
  </si>
  <si>
    <t>C1050</t>
  </si>
  <si>
    <t>C1184</t>
  </si>
  <si>
    <t>C1004</t>
  </si>
  <si>
    <t>C1034</t>
  </si>
  <si>
    <t>Yes</t>
  </si>
  <si>
    <t>C1164</t>
  </si>
  <si>
    <t>C1155</t>
  </si>
  <si>
    <t>C1073</t>
  </si>
  <si>
    <t>C1136</t>
  </si>
  <si>
    <t>C1173</t>
  </si>
  <si>
    <t>C1071</t>
  </si>
  <si>
    <t>C1047</t>
  </si>
  <si>
    <t>Aisha</t>
  </si>
  <si>
    <t>C1094</t>
  </si>
  <si>
    <t>C1089</t>
  </si>
  <si>
    <t>C1048</t>
  </si>
  <si>
    <t>C1056</t>
  </si>
  <si>
    <t>C1036</t>
  </si>
  <si>
    <t>C1138</t>
  </si>
  <si>
    <t>C1044</t>
  </si>
  <si>
    <t>C1063</t>
  </si>
  <si>
    <t>C1001</t>
  </si>
  <si>
    <t>C1174</t>
  </si>
  <si>
    <t>C1169</t>
  </si>
  <si>
    <t>C1081</t>
  </si>
  <si>
    <t>C1113</t>
  </si>
  <si>
    <t>C1068</t>
  </si>
  <si>
    <t>C1179</t>
  </si>
  <si>
    <t>C1135</t>
  </si>
  <si>
    <t>C1080</t>
  </si>
  <si>
    <t>C1005</t>
  </si>
  <si>
    <t>C1193</t>
  </si>
  <si>
    <t>C1030</t>
  </si>
  <si>
    <t>C1019</t>
  </si>
  <si>
    <t>C1187</t>
  </si>
  <si>
    <t>C1190</t>
  </si>
  <si>
    <t>C1069</t>
  </si>
  <si>
    <t>C1074</t>
  </si>
  <si>
    <t>C1156</t>
  </si>
  <si>
    <t>C1039</t>
  </si>
  <si>
    <t>C1045</t>
  </si>
  <si>
    <t>C1055</t>
  </si>
  <si>
    <t>C1106</t>
  </si>
  <si>
    <t>C1157</t>
  </si>
  <si>
    <t>C1000</t>
  </si>
  <si>
    <t>C1032</t>
  </si>
  <si>
    <t>C1024</t>
  </si>
  <si>
    <t>C1018</t>
  </si>
  <si>
    <t>C1058</t>
  </si>
  <si>
    <t>C1086</t>
  </si>
  <si>
    <t>C1043</t>
  </si>
  <si>
    <t>C1188</t>
  </si>
  <si>
    <t>C1104</t>
  </si>
  <si>
    <t>C1108</t>
  </si>
  <si>
    <t>C1159</t>
  </si>
  <si>
    <t>C1017</t>
  </si>
  <si>
    <t>C1143</t>
  </si>
  <si>
    <t>C1133</t>
  </si>
  <si>
    <t>C1097</t>
  </si>
  <si>
    <t>C1020</t>
  </si>
  <si>
    <t>C1177</t>
  </si>
  <si>
    <t>C1150</t>
  </si>
  <si>
    <t>C1128</t>
  </si>
  <si>
    <t>C1166</t>
  </si>
  <si>
    <t>C1031</t>
  </si>
  <si>
    <t>C1092</t>
  </si>
  <si>
    <t>C1038</t>
  </si>
  <si>
    <t>C1052</t>
  </si>
  <si>
    <t>C1014</t>
  </si>
  <si>
    <t>C1110</t>
  </si>
  <si>
    <t>C1167</t>
  </si>
  <si>
    <t>C1002</t>
  </si>
  <si>
    <t>C1170</t>
  </si>
  <si>
    <t>C1021</t>
  </si>
  <si>
    <t>C1078</t>
  </si>
  <si>
    <t>C1145</t>
  </si>
  <si>
    <t>C1091</t>
  </si>
  <si>
    <t>C1098</t>
  </si>
  <si>
    <t xml:space="preserve">Accessories </t>
  </si>
  <si>
    <t>C1194</t>
  </si>
  <si>
    <t>C1124</t>
  </si>
  <si>
    <t>C1129</t>
  </si>
  <si>
    <t>C1062</t>
  </si>
  <si>
    <t>C1046</t>
  </si>
  <si>
    <t>C1191</t>
  </si>
  <si>
    <t>C1076</t>
  </si>
  <si>
    <t>C1016</t>
  </si>
  <si>
    <t>C1003</t>
  </si>
  <si>
    <t>C1149</t>
  </si>
  <si>
    <t>C1072</t>
  </si>
  <si>
    <t>C1146</t>
  </si>
  <si>
    <t>C1088</t>
  </si>
  <si>
    <t>C1139</t>
  </si>
  <si>
    <t>C1172</t>
  </si>
  <si>
    <t>C1186</t>
  </si>
  <si>
    <t>C1117</t>
  </si>
  <si>
    <t>C1105</t>
  </si>
  <si>
    <t>C1067</t>
  </si>
  <si>
    <t>C1008</t>
  </si>
  <si>
    <t>C1096</t>
  </si>
  <si>
    <t>C1119</t>
  </si>
  <si>
    <t>C1158</t>
  </si>
  <si>
    <t>C1037</t>
  </si>
  <si>
    <t>C1013</t>
  </si>
  <si>
    <t>C1023</t>
  </si>
  <si>
    <t>C1176</t>
  </si>
  <si>
    <t>C1026</t>
  </si>
  <si>
    <t>C1102</t>
  </si>
  <si>
    <t>C1120</t>
  </si>
  <si>
    <t>C1112</t>
  </si>
  <si>
    <t>C1061</t>
  </si>
  <si>
    <t>C1165</t>
  </si>
  <si>
    <t>C1181</t>
  </si>
  <si>
    <t xml:space="preserve">Lagos </t>
  </si>
  <si>
    <t>C1147</t>
  </si>
  <si>
    <t>C1152</t>
  </si>
  <si>
    <t>C1131</t>
  </si>
  <si>
    <t>C1085</t>
  </si>
  <si>
    <t>C1144</t>
  </si>
  <si>
    <t>C1107</t>
  </si>
  <si>
    <t>C1178</t>
  </si>
  <si>
    <t>C1033</t>
  </si>
  <si>
    <t>C1126</t>
  </si>
  <si>
    <t>C1137</t>
  </si>
  <si>
    <t>C1142</t>
  </si>
  <si>
    <t>C1064</t>
  </si>
  <si>
    <t>C1054</t>
  </si>
  <si>
    <t>C1025</t>
  </si>
  <si>
    <t>C1101</t>
  </si>
  <si>
    <t>C1116</t>
  </si>
  <si>
    <t>C1140</t>
  </si>
  <si>
    <t>C1049</t>
  </si>
  <si>
    <t>C1027</t>
  </si>
  <si>
    <t>C1127</t>
  </si>
  <si>
    <t>accessories</t>
  </si>
  <si>
    <t>C1087</t>
  </si>
  <si>
    <t>C1182</t>
  </si>
  <si>
    <t>C1053</t>
  </si>
  <si>
    <t>C1041</t>
  </si>
  <si>
    <t>C1035</t>
  </si>
  <si>
    <t>C1115</t>
  </si>
  <si>
    <t>C1130</t>
  </si>
  <si>
    <t>C1114</t>
  </si>
  <si>
    <t>C1057</t>
  </si>
  <si>
    <t>C1010</t>
  </si>
  <si>
    <t>C1162</t>
  </si>
  <si>
    <t>C1090</t>
  </si>
  <si>
    <t>C1099</t>
  </si>
  <si>
    <t>C1093</t>
  </si>
  <si>
    <t>Accessory</t>
  </si>
  <si>
    <t>LAGOS</t>
  </si>
  <si>
    <t>C1070</t>
  </si>
  <si>
    <t>C1079</t>
  </si>
  <si>
    <t>C1154</t>
  </si>
  <si>
    <t>C1171</t>
  </si>
  <si>
    <t>C1066</t>
  </si>
  <si>
    <t>C1077</t>
  </si>
  <si>
    <t>C1185</t>
  </si>
  <si>
    <t>C1151</t>
  </si>
  <si>
    <t>C1132</t>
  </si>
  <si>
    <t>C1015</t>
  </si>
  <si>
    <t>C1160</t>
  </si>
  <si>
    <t>C1042</t>
  </si>
  <si>
    <t>C1175</t>
  </si>
  <si>
    <t>C1065</t>
  </si>
  <si>
    <t>C1012</t>
  </si>
  <si>
    <t>C1006</t>
  </si>
  <si>
    <t>Month</t>
  </si>
  <si>
    <t>May</t>
  </si>
  <si>
    <t>Transaction_ID</t>
  </si>
  <si>
    <t>Store_ID</t>
  </si>
  <si>
    <t>Product_Category</t>
  </si>
  <si>
    <t>Customer_ID</t>
  </si>
  <si>
    <t>Customer_Type</t>
  </si>
  <si>
    <t>Unit_Price_NGN</t>
  </si>
  <si>
    <t>Discount_Pct</t>
  </si>
  <si>
    <t>Revenue_Reported_NGN</t>
  </si>
  <si>
    <t>Cost_Per_Unit_NGN</t>
  </si>
  <si>
    <t>Return_Flag</t>
  </si>
  <si>
    <t>Sales_Rep</t>
  </si>
  <si>
    <t>Revenue_Reported_NGN (Correct)</t>
  </si>
  <si>
    <t>Cost_Per_Unit_NGN (Correct)</t>
  </si>
  <si>
    <t>Total_Cost _NGN</t>
  </si>
  <si>
    <t>Profit_NGN</t>
  </si>
  <si>
    <t xml:space="preserve">Product_Category </t>
  </si>
  <si>
    <t>Row Labels</t>
  </si>
  <si>
    <t>Grand Total</t>
  </si>
  <si>
    <t>% margin</t>
  </si>
  <si>
    <t>Return_Flag_Index</t>
  </si>
  <si>
    <t>Return Rate</t>
  </si>
  <si>
    <t>Jan</t>
  </si>
  <si>
    <t>Feb</t>
  </si>
  <si>
    <t>Mar</t>
  </si>
  <si>
    <t>Apr</t>
  </si>
  <si>
    <t>Jun</t>
  </si>
  <si>
    <t>Jul</t>
  </si>
  <si>
    <t>Aug</t>
  </si>
  <si>
    <t>Total Revenue</t>
  </si>
  <si>
    <t>Total Profit</t>
  </si>
  <si>
    <t>Total Cost</t>
  </si>
  <si>
    <t>Revenue</t>
  </si>
  <si>
    <t>Profit</t>
  </si>
  <si>
    <t>Total Order</t>
  </si>
  <si>
    <t>Returned Order</t>
  </si>
  <si>
    <t>Months</t>
  </si>
  <si>
    <t>Sum of Units</t>
  </si>
  <si>
    <t>Return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</si>
</sst>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
    <numFmt numFmtId="166" formatCode="_-* #,##0_-;\-* #,##0_-;_-* &quot;-&quot;??_-;_-@_-"/>
  </numFmts>
  <fonts count="7" x14ac:knownFonts="1">
    <font>
      <sz val="11"/>
      <color theme="1"/>
      <name val="Calibri"/>
      <family val="2"/>
      <charset val="1"/>
    </font>
    <font>
      <sz val="10"/>
      <name val="Arial"/>
    </font>
    <font>
      <b/>
      <sz val="10"/>
      <color rgb="FFFFFFFF"/>
      <name val="Arial Narrow"/>
      <family val="2"/>
    </font>
    <font>
      <sz val="11"/>
      <color theme="1"/>
      <name val="Arial Narrow"/>
      <family val="2"/>
    </font>
    <font>
      <sz val="9.5"/>
      <name val="Arial Narrow"/>
      <family val="2"/>
    </font>
    <font>
      <sz val="10"/>
      <name val="Arial Narrow"/>
      <family val="2"/>
    </font>
    <font>
      <sz val="10"/>
      <name val="Arial"/>
      <family val="2"/>
    </font>
  </fonts>
  <fills count="5">
    <fill>
      <patternFill patternType="none"/>
    </fill>
    <fill>
      <patternFill patternType="gray125"/>
    </fill>
    <fill>
      <patternFill patternType="solid">
        <fgColor rgb="FF1F3864"/>
        <bgColor rgb="FF333399"/>
      </patternFill>
    </fill>
    <fill>
      <patternFill patternType="solid">
        <fgColor theme="7" tint="-0.249977111117893"/>
        <bgColor rgb="FF333399"/>
      </patternFill>
    </fill>
    <fill>
      <patternFill patternType="solid">
        <fgColor theme="9" tint="-0.249977111117893"/>
        <bgColor rgb="FF333399"/>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3">
    <xf numFmtId="0" fontId="0" fillId="0" borderId="0"/>
    <xf numFmtId="43" fontId="1" fillId="0" borderId="0" applyBorder="0" applyAlignment="0" applyProtection="0"/>
    <xf numFmtId="9" fontId="1" fillId="0" borderId="0" applyBorder="0" applyAlignment="0" applyProtection="0"/>
  </cellStyleXfs>
  <cellXfs count="21">
    <xf numFmtId="0" fontId="0" fillId="0" borderId="0" xfId="0"/>
    <xf numFmtId="0" fontId="2" fillId="2" borderId="1" xfId="0" applyFont="1" applyFill="1" applyBorder="1" applyAlignment="1">
      <alignment horizontal="center" vertical="center" wrapText="1"/>
    </xf>
    <xf numFmtId="0" fontId="3" fillId="0" borderId="0" xfId="0" applyFont="1"/>
    <xf numFmtId="0" fontId="4" fillId="0" borderId="1" xfId="0" applyFont="1" applyBorder="1"/>
    <xf numFmtId="14" fontId="4" fillId="0" borderId="1" xfId="0" applyNumberFormat="1" applyFont="1" applyBorder="1"/>
    <xf numFmtId="3" fontId="4" fillId="0" borderId="1" xfId="0" applyNumberFormat="1" applyFont="1" applyBorder="1"/>
    <xf numFmtId="9" fontId="4" fillId="0" borderId="1" xfId="0" applyNumberFormat="1" applyFont="1" applyBorder="1"/>
    <xf numFmtId="3" fontId="3" fillId="0" borderId="0" xfId="0" applyNumberFormat="1" applyFont="1"/>
    <xf numFmtId="0" fontId="2" fillId="4"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1" xfId="0" applyFont="1" applyFill="1" applyBorder="1"/>
    <xf numFmtId="166" fontId="1" fillId="0" borderId="1" xfId="1" applyNumberFormat="1" applyBorder="1"/>
    <xf numFmtId="0" fontId="3" fillId="0" borderId="0" xfId="0" pivotButton="1" applyFont="1"/>
    <xf numFmtId="0" fontId="3" fillId="0" borderId="0" xfId="0" applyFont="1" applyAlignment="1">
      <alignment horizontal="left"/>
    </xf>
    <xf numFmtId="164" fontId="5" fillId="0" borderId="0" xfId="2" applyNumberFormat="1" applyFont="1"/>
    <xf numFmtId="0" fontId="3" fillId="0" borderId="0" xfId="0" applyNumberFormat="1" applyFont="1"/>
    <xf numFmtId="9" fontId="5" fillId="0" borderId="0" xfId="2" applyNumberFormat="1" applyFont="1"/>
    <xf numFmtId="166" fontId="3" fillId="0" borderId="0" xfId="0" applyNumberFormat="1" applyFont="1"/>
    <xf numFmtId="166" fontId="6" fillId="0" borderId="0" xfId="0" applyNumberFormat="1" applyFont="1" applyFill="1"/>
    <xf numFmtId="164" fontId="0" fillId="0" borderId="0" xfId="0" applyNumberFormat="1"/>
    <xf numFmtId="164" fontId="3" fillId="0" borderId="0" xfId="0" applyNumberFormat="1" applyFont="1"/>
  </cellXfs>
  <cellStyles count="3">
    <cellStyle name="Comma" xfId="1" builtinId="3"/>
    <cellStyle name="Normal" xfId="0" builtinId="0"/>
    <cellStyle name="Percent" xfId="2" builtinId="5"/>
  </cellStyles>
  <dxfs count="65">
    <dxf>
      <fill>
        <patternFill>
          <bgColor rgb="FFFFF2CC"/>
        </patternFill>
      </fill>
    </dxf>
    <dxf>
      <fill>
        <patternFill>
          <bgColor rgb="FFFFF2CC"/>
        </patternFill>
      </fill>
    </dxf>
    <dxf>
      <fill>
        <patternFill>
          <bgColor rgb="FFFCE4E4"/>
        </patternFill>
      </fill>
    </dxf>
    <dxf>
      <font>
        <sz val="11"/>
        <color rgb="FF000000"/>
        <name val="Calibri"/>
        <family val="2"/>
        <charset val="1"/>
      </font>
      <alignment horizontal="general" vertical="bottom" textRotation="0" wrapText="0" indent="0" shrinkToFit="0"/>
    </dxf>
    <dxf>
      <font>
        <name val="Arial Narrow"/>
        <family val="2"/>
      </font>
    </dxf>
    <dxf>
      <font>
        <name val="Arial Narrow"/>
        <family val="2"/>
      </font>
    </dxf>
    <dxf>
      <font>
        <name val="Arial Narrow"/>
        <family val="2"/>
      </font>
    </dxf>
    <dxf>
      <font>
        <name val="Arial Narrow"/>
        <family val="2"/>
      </font>
    </dxf>
    <dxf>
      <font>
        <name val="Arial Narrow"/>
        <family val="2"/>
      </font>
    </dxf>
    <dxf>
      <font>
        <name val="Arial Narrow"/>
        <family val="2"/>
      </font>
    </dxf>
    <dxf>
      <font>
        <name val="Arial Narrow"/>
        <family val="2"/>
      </font>
    </dxf>
    <dxf>
      <font>
        <name val="Arial Narrow"/>
        <family val="2"/>
      </font>
    </dxf>
    <dxf>
      <font>
        <name val="Arial Narrow"/>
        <family val="2"/>
      </font>
    </dxf>
    <dxf>
      <font>
        <name val="Arial Narrow"/>
        <family val="2"/>
      </font>
    </dxf>
    <dxf>
      <font>
        <name val="Arial Narrow"/>
        <family val="2"/>
      </font>
    </dxf>
    <dxf>
      <font>
        <name val="Arial Narrow"/>
        <family val="2"/>
      </font>
    </dxf>
    <dxf>
      <font>
        <name val="Arial Narrow"/>
        <family val="2"/>
      </font>
    </dxf>
    <dxf>
      <font>
        <name val="Arial Narrow"/>
        <family val="2"/>
      </font>
    </dxf>
    <dxf>
      <font>
        <name val="Arial Narrow"/>
        <family val="2"/>
      </font>
    </dxf>
    <dxf>
      <font>
        <name val="Arial Narrow"/>
        <family val="2"/>
      </font>
    </dxf>
    <dxf>
      <font>
        <name val="Arial Narrow"/>
        <family val="2"/>
      </font>
    </dxf>
    <dxf>
      <font>
        <name val="Arial Narrow"/>
        <family val="2"/>
      </font>
    </dxf>
    <dxf>
      <numFmt numFmtId="166" formatCode="_-* #,##0_-;\-* #,##0_-;_-* &quot;-&quot;??_-;_-@_-"/>
    </dxf>
    <dxf>
      <font>
        <b val="0"/>
        <i val="0"/>
        <strike val="0"/>
        <condense val="0"/>
        <extend val="0"/>
        <outline val="0"/>
        <shadow val="0"/>
        <u val="none"/>
        <vertAlign val="baseline"/>
        <sz val="10"/>
        <color auto="1"/>
        <name val="Arial"/>
        <scheme val="none"/>
      </font>
      <numFmt numFmtId="35" formatCode="_-* #,##0.00_-;\-* #,##0.00_-;_-* &quot;-&quot;??_-;_-@_-"/>
      <fill>
        <patternFill patternType="none">
          <fgColor indexed="64"/>
          <bgColor indexed="65"/>
        </patternFill>
      </fill>
    </dxf>
    <dxf>
      <font>
        <name val="Arial Narrow"/>
        <family val="2"/>
      </font>
    </dxf>
    <dxf>
      <font>
        <name val="Arial Narrow"/>
        <family val="2"/>
      </font>
    </dxf>
    <dxf>
      <font>
        <name val="Arial Narrow"/>
        <family val="2"/>
      </font>
    </dxf>
    <dxf>
      <font>
        <name val="Arial Narrow"/>
        <family val="2"/>
      </font>
    </dxf>
    <dxf>
      <font>
        <name val="Arial Narrow"/>
        <family val="2"/>
      </font>
    </dxf>
    <dxf>
      <font>
        <name val="Arial Narrow"/>
        <family val="2"/>
      </font>
    </dxf>
    <dxf>
      <font>
        <name val="Arial Narrow"/>
        <family val="2"/>
      </font>
    </dxf>
    <dxf>
      <font>
        <name val="Arial Narrow"/>
        <family val="2"/>
      </font>
    </dxf>
    <dxf>
      <font>
        <name val="Arial Narrow"/>
        <family val="2"/>
      </font>
    </dxf>
    <dxf>
      <font>
        <name val="Arial Narrow"/>
        <family val="2"/>
      </font>
    </dxf>
    <dxf>
      <font>
        <name val="Arial Narrow"/>
        <family val="2"/>
      </font>
    </dxf>
    <dxf>
      <font>
        <name val="Arial Narrow"/>
        <family val="2"/>
      </font>
    </dxf>
    <dxf>
      <font>
        <name val="Arial Narrow"/>
        <family val="2"/>
      </font>
    </dxf>
    <dxf>
      <font>
        <name val="Arial Narrow"/>
        <family val="2"/>
      </font>
    </dxf>
    <dxf>
      <font>
        <name val="Arial Narrow"/>
        <family val="2"/>
      </font>
    </dxf>
    <dxf>
      <font>
        <name val="Arial Narrow"/>
        <family val="2"/>
      </font>
    </dxf>
    <dxf>
      <font>
        <name val="Arial Narrow"/>
        <family val="2"/>
      </font>
    </dxf>
    <dxf>
      <font>
        <name val="Arial Narrow"/>
        <family val="2"/>
      </font>
    </dxf>
    <dxf>
      <font>
        <name val="Arial Narrow"/>
        <family val="2"/>
      </font>
    </dxf>
    <dxf>
      <font>
        <name val="Arial Narrow"/>
        <family val="2"/>
      </font>
    </dxf>
    <dxf>
      <font>
        <name val="Arial Narrow"/>
        <family val="2"/>
      </font>
    </dxf>
    <dxf>
      <font>
        <name val="Arial Narrow"/>
        <family val="2"/>
      </font>
    </dxf>
    <dxf>
      <font>
        <name val="Arial Narrow"/>
        <family val="2"/>
      </font>
    </dxf>
    <dxf>
      <font>
        <name val="Arial Narrow"/>
        <family val="2"/>
      </font>
    </dxf>
    <dxf>
      <font>
        <name val="Arial Narrow"/>
        <family val="2"/>
      </font>
    </dxf>
    <dxf>
      <font>
        <name val="Arial Narrow"/>
        <family val="2"/>
      </font>
    </dxf>
    <dxf>
      <font>
        <name val="Arial Narrow"/>
        <family val="2"/>
      </font>
    </dxf>
    <dxf>
      <font>
        <name val="Arial Narrow"/>
        <family val="2"/>
      </font>
    </dxf>
    <dxf>
      <font>
        <name val="Arial Narrow"/>
        <family val="2"/>
      </font>
    </dxf>
    <dxf>
      <font>
        <name val="Arial Narrow"/>
        <family val="2"/>
      </font>
    </dxf>
    <dxf>
      <font>
        <name val="Arial Narrow"/>
        <family val="2"/>
      </font>
    </dxf>
    <dxf>
      <font>
        <name val="Arial Narrow"/>
        <family val="2"/>
      </font>
    </dxf>
    <dxf>
      <font>
        <name val="Arial Narrow"/>
        <family val="2"/>
      </font>
    </dxf>
    <dxf>
      <font>
        <name val="Arial Narrow"/>
        <family val="2"/>
      </font>
    </dxf>
    <dxf>
      <font>
        <name val="Arial Narrow"/>
        <family val="2"/>
      </font>
    </dxf>
    <dxf>
      <font>
        <name val="Arial Narrow"/>
        <family val="2"/>
      </font>
    </dxf>
    <dxf>
      <font>
        <name val="Arial Narrow"/>
        <family val="2"/>
      </font>
    </dxf>
    <dxf>
      <font>
        <name val="Arial Narrow"/>
        <family val="2"/>
      </font>
    </dxf>
    <dxf>
      <font>
        <name val="Arial Narrow"/>
        <family val="2"/>
      </font>
    </dxf>
    <dxf>
      <font>
        <name val="Arial Narrow"/>
        <family val="2"/>
      </font>
    </dxf>
    <dxf>
      <font>
        <name val="Arial Narrow"/>
        <family val="2"/>
      </font>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1E7B34"/>
      <rgbColor rgb="FF000080"/>
      <rgbColor rgb="FF808000"/>
      <rgbColor rgb="FF800080"/>
      <rgbColor rgb="FF008080"/>
      <rgbColor rgb="FFC0C0C0"/>
      <rgbColor rgb="FF878787"/>
      <rgbColor rgb="FF9999FF"/>
      <rgbColor rgb="FF993366"/>
      <rgbColor rgb="FFFFF2CC"/>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E4"/>
      <rgbColor rgb="FF2E75B6"/>
      <rgbColor rgb="FF33CCCC"/>
      <rgbColor rgb="FF99CC00"/>
      <rgbColor rgb="FFFFCC00"/>
      <rgbColor rgb="FFBF8F00"/>
      <rgbColor rgb="FFFF6600"/>
      <rgbColor rgb="FF666666"/>
      <rgbColor rgb="FF888888"/>
      <rgbColor rgb="FF1F3864"/>
      <rgbColor rgb="FF339966"/>
      <rgbColor rgb="FF003300"/>
      <rgbColor rgb="FF333300"/>
      <rgbColor rgb="FF993300"/>
      <rgbColor rgb="FF993366"/>
      <rgbColor rgb="FF333399"/>
      <rgbColor rgb="FF44444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externalLink" Target="externalLinks/externalLink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Pivot!$C$40:$C$47</c:f>
              <c:strCache>
                <c:ptCount val="8"/>
                <c:pt idx="0">
                  <c:v>Jan</c:v>
                </c:pt>
                <c:pt idx="1">
                  <c:v>Feb</c:v>
                </c:pt>
                <c:pt idx="2">
                  <c:v>Mar</c:v>
                </c:pt>
                <c:pt idx="3">
                  <c:v>Apr</c:v>
                </c:pt>
                <c:pt idx="4">
                  <c:v>May</c:v>
                </c:pt>
                <c:pt idx="5">
                  <c:v>Jun</c:v>
                </c:pt>
                <c:pt idx="6">
                  <c:v>Jul</c:v>
                </c:pt>
                <c:pt idx="7">
                  <c:v>Aug</c:v>
                </c:pt>
              </c:strCache>
            </c:strRef>
          </c:cat>
          <c:val>
            <c:numRef>
              <c:f>Pivot!$D$40:$D$47</c:f>
              <c:numCache>
                <c:formatCode>#,##0</c:formatCode>
                <c:ptCount val="8"/>
                <c:pt idx="0">
                  <c:v>6749250</c:v>
                </c:pt>
                <c:pt idx="1">
                  <c:v>5479500</c:v>
                </c:pt>
                <c:pt idx="2">
                  <c:v>6306375</c:v>
                </c:pt>
                <c:pt idx="3">
                  <c:v>6367700</c:v>
                </c:pt>
                <c:pt idx="4">
                  <c:v>7556700</c:v>
                </c:pt>
                <c:pt idx="5">
                  <c:v>5440450</c:v>
                </c:pt>
                <c:pt idx="6">
                  <c:v>6709275</c:v>
                </c:pt>
                <c:pt idx="7">
                  <c:v>3201375</c:v>
                </c:pt>
              </c:numCache>
            </c:numRef>
          </c:val>
          <c:smooth val="0"/>
          <c:extLst>
            <c:ext xmlns:c16="http://schemas.microsoft.com/office/drawing/2014/chart" uri="{C3380CC4-5D6E-409C-BE32-E72D297353CC}">
              <c16:uniqueId val="{00000000-184C-4085-919B-EBF1DCDF9267}"/>
            </c:ext>
          </c:extLst>
        </c:ser>
        <c:dLbls>
          <c:showLegendKey val="0"/>
          <c:showVal val="0"/>
          <c:showCatName val="0"/>
          <c:showSerName val="0"/>
          <c:showPercent val="0"/>
          <c:showBubbleSize val="0"/>
        </c:dLbls>
        <c:marker val="1"/>
        <c:smooth val="0"/>
        <c:axId val="1354422512"/>
        <c:axId val="918787664"/>
      </c:lineChart>
      <c:catAx>
        <c:axId val="1354422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18787664"/>
        <c:crosses val="autoZero"/>
        <c:auto val="1"/>
        <c:lblAlgn val="ctr"/>
        <c:lblOffset val="100"/>
        <c:noMultiLvlLbl val="0"/>
      </c:catAx>
      <c:valAx>
        <c:axId val="91878766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354422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2">
          <a:lumMod val="60000"/>
          <a:lumOff val="40000"/>
        </a:schemeClr>
      </a:solidFill>
      <a:round/>
    </a:ln>
    <a:effectLst/>
  </c:spPr>
  <c:txPr>
    <a:bodyPr/>
    <a:lstStyle/>
    <a:p>
      <a:pPr>
        <a:defRPr/>
      </a:pPr>
      <a:endParaRPr lang="en-NG"/>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Market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barChart>
        <c:barDir val="col"/>
        <c:grouping val="clustered"/>
        <c:varyColors val="0"/>
        <c:ser>
          <c:idx val="0"/>
          <c:order val="0"/>
          <c:tx>
            <c:strRef>
              <c:f>Pivot!$J$3</c:f>
              <c:strCache>
                <c:ptCount val="1"/>
                <c:pt idx="0">
                  <c:v>Profit</c:v>
                </c:pt>
              </c:strCache>
            </c:strRef>
          </c:tx>
          <c:spPr>
            <a:solidFill>
              <a:schemeClr val="accent1"/>
            </a:solidFill>
            <a:ln>
              <a:noFill/>
            </a:ln>
            <a:effectLst/>
          </c:spPr>
          <c:invertIfNegative val="0"/>
          <c:cat>
            <c:strRef>
              <c:f>Pivot!$I$4:$I$8</c:f>
              <c:strCache>
                <c:ptCount val="5"/>
                <c:pt idx="0">
                  <c:v>Lagos</c:v>
                </c:pt>
                <c:pt idx="1">
                  <c:v>Kano</c:v>
                </c:pt>
                <c:pt idx="2">
                  <c:v>Ibadan</c:v>
                </c:pt>
                <c:pt idx="3">
                  <c:v>Port Harcourt</c:v>
                </c:pt>
                <c:pt idx="4">
                  <c:v>Abuja</c:v>
                </c:pt>
              </c:strCache>
            </c:strRef>
          </c:cat>
          <c:val>
            <c:numRef>
              <c:f>Pivot!$J$4:$J$8</c:f>
              <c:numCache>
                <c:formatCode>#,##0</c:formatCode>
                <c:ptCount val="5"/>
                <c:pt idx="0">
                  <c:v>4657000</c:v>
                </c:pt>
                <c:pt idx="1">
                  <c:v>3363800</c:v>
                </c:pt>
                <c:pt idx="2">
                  <c:v>2905225</c:v>
                </c:pt>
                <c:pt idx="3">
                  <c:v>2342650</c:v>
                </c:pt>
                <c:pt idx="4">
                  <c:v>1701350</c:v>
                </c:pt>
              </c:numCache>
            </c:numRef>
          </c:val>
          <c:extLst>
            <c:ext xmlns:c16="http://schemas.microsoft.com/office/drawing/2014/chart" uri="{C3380CC4-5D6E-409C-BE32-E72D297353CC}">
              <c16:uniqueId val="{00000000-B606-4EF7-9B1D-3257CDE37087}"/>
            </c:ext>
          </c:extLst>
        </c:ser>
        <c:dLbls>
          <c:showLegendKey val="0"/>
          <c:showVal val="0"/>
          <c:showCatName val="0"/>
          <c:showSerName val="0"/>
          <c:showPercent val="0"/>
          <c:showBubbleSize val="0"/>
        </c:dLbls>
        <c:gapWidth val="219"/>
        <c:overlap val="-27"/>
        <c:axId val="1354406272"/>
        <c:axId val="918687344"/>
      </c:barChart>
      <c:catAx>
        <c:axId val="1354406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18687344"/>
        <c:crosses val="autoZero"/>
        <c:auto val="1"/>
        <c:lblAlgn val="ctr"/>
        <c:lblOffset val="100"/>
        <c:noMultiLvlLbl val="0"/>
      </c:catAx>
      <c:valAx>
        <c:axId val="91868734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354406272"/>
        <c:crosses val="autoZero"/>
        <c:crossBetween val="between"/>
      </c:valAx>
      <c:spPr>
        <a:noFill/>
        <a:ln>
          <a:noFill/>
        </a:ln>
        <a:effectLst/>
      </c:spPr>
    </c:plotArea>
    <c:plotVisOnly val="1"/>
    <c:dispBlanksAs val="gap"/>
    <c:showDLblsOverMax val="0"/>
  </c:chart>
  <c:spPr>
    <a:solidFill>
      <a:schemeClr val="bg1"/>
    </a:solidFill>
    <a:ln w="12700" cap="flat" cmpd="sng" algn="ctr">
      <a:solidFill>
        <a:schemeClr val="tx2">
          <a:lumMod val="60000"/>
          <a:lumOff val="40000"/>
        </a:schemeClr>
      </a:solidFill>
      <a:round/>
    </a:ln>
    <a:effectLst/>
  </c:spPr>
  <c:txPr>
    <a:bodyPr/>
    <a:lstStyle/>
    <a:p>
      <a:pPr>
        <a:defRPr/>
      </a:pPr>
      <a:endParaRPr lang="en-NG"/>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barChart>
        <c:barDir val="col"/>
        <c:grouping val="clustered"/>
        <c:varyColors val="0"/>
        <c:ser>
          <c:idx val="0"/>
          <c:order val="0"/>
          <c:tx>
            <c:strRef>
              <c:f>Pivot!$G$12</c:f>
              <c:strCache>
                <c:ptCount val="1"/>
                <c:pt idx="0">
                  <c:v>Revenue</c:v>
                </c:pt>
              </c:strCache>
            </c:strRef>
          </c:tx>
          <c:spPr>
            <a:solidFill>
              <a:schemeClr val="accent1"/>
            </a:solidFill>
            <a:ln>
              <a:noFill/>
            </a:ln>
            <a:effectLst/>
          </c:spPr>
          <c:invertIfNegative val="0"/>
          <c:cat>
            <c:strRef>
              <c:f>Pivot!$F$13:$F$15</c:f>
              <c:strCache>
                <c:ptCount val="3"/>
                <c:pt idx="0">
                  <c:v>Electronics</c:v>
                </c:pt>
                <c:pt idx="1">
                  <c:v>Home</c:v>
                </c:pt>
                <c:pt idx="2">
                  <c:v>Accessories</c:v>
                </c:pt>
              </c:strCache>
            </c:strRef>
          </c:cat>
          <c:val>
            <c:numRef>
              <c:f>Pivot!$G$13:$G$15</c:f>
              <c:numCache>
                <c:formatCode>#,##0</c:formatCode>
                <c:ptCount val="3"/>
                <c:pt idx="0">
                  <c:v>30035900</c:v>
                </c:pt>
                <c:pt idx="1">
                  <c:v>13510500</c:v>
                </c:pt>
                <c:pt idx="2">
                  <c:v>4264225</c:v>
                </c:pt>
              </c:numCache>
            </c:numRef>
          </c:val>
          <c:extLst>
            <c:ext xmlns:c16="http://schemas.microsoft.com/office/drawing/2014/chart" uri="{C3380CC4-5D6E-409C-BE32-E72D297353CC}">
              <c16:uniqueId val="{00000000-8E92-4B86-AE71-37ED2A8591B6}"/>
            </c:ext>
          </c:extLst>
        </c:ser>
        <c:dLbls>
          <c:showLegendKey val="0"/>
          <c:showVal val="0"/>
          <c:showCatName val="0"/>
          <c:showSerName val="0"/>
          <c:showPercent val="0"/>
          <c:showBubbleSize val="0"/>
        </c:dLbls>
        <c:gapWidth val="219"/>
        <c:overlap val="-27"/>
        <c:axId val="1342005648"/>
        <c:axId val="918790544"/>
      </c:barChart>
      <c:catAx>
        <c:axId val="1342005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18790544"/>
        <c:crosses val="autoZero"/>
        <c:auto val="1"/>
        <c:lblAlgn val="ctr"/>
        <c:lblOffset val="100"/>
        <c:noMultiLvlLbl val="0"/>
      </c:catAx>
      <c:valAx>
        <c:axId val="91879054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342005648"/>
        <c:crosses val="autoZero"/>
        <c:crossBetween val="between"/>
      </c:valAx>
      <c:spPr>
        <a:noFill/>
        <a:ln>
          <a:noFill/>
        </a:ln>
        <a:effectLst/>
      </c:spPr>
    </c:plotArea>
    <c:plotVisOnly val="1"/>
    <c:dispBlanksAs val="gap"/>
    <c:showDLblsOverMax val="0"/>
  </c:chart>
  <c:spPr>
    <a:solidFill>
      <a:schemeClr val="bg1"/>
    </a:solidFill>
    <a:ln w="12700" cap="flat" cmpd="sng" algn="ctr">
      <a:solidFill>
        <a:schemeClr val="tx2">
          <a:lumMod val="60000"/>
          <a:lumOff val="40000"/>
        </a:schemeClr>
      </a:solidFill>
      <a:round/>
    </a:ln>
    <a:effectLst/>
  </c:spPr>
  <c:txPr>
    <a:bodyPr/>
    <a:lstStyle/>
    <a:p>
      <a:pPr>
        <a:defRPr/>
      </a:pPr>
      <a:endParaRPr lang="en-NG"/>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doughnutChart>
        <c:varyColors val="1"/>
        <c:ser>
          <c:idx val="0"/>
          <c:order val="0"/>
          <c:tx>
            <c:strRef>
              <c:f>Pivot!$G$19</c:f>
              <c:strCache>
                <c:ptCount val="1"/>
                <c:pt idx="0">
                  <c:v>Return rate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DDF-4B9E-A808-CDEE5ED177C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DDF-4B9E-A808-CDEE5ED177C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DDF-4B9E-A808-CDEE5ED177C5}"/>
              </c:ext>
            </c:extLst>
          </c:dPt>
          <c:dLbls>
            <c:dLbl>
              <c:idx val="0"/>
              <c:layout>
                <c:manualLayout>
                  <c:x val="4.9792531120331947E-2"/>
                  <c:y val="-5.354752342704149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DDF-4B9E-A808-CDEE5ED177C5}"/>
                </c:ext>
              </c:extLst>
            </c:dLbl>
            <c:dLbl>
              <c:idx val="1"/>
              <c:layout>
                <c:manualLayout>
                  <c:x val="5.2558782849239281E-2"/>
                  <c:y val="4.016064257028099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DDF-4B9E-A808-CDEE5ED177C5}"/>
                </c:ext>
              </c:extLst>
            </c:dLbl>
            <c:dLbl>
              <c:idx val="2"/>
              <c:layout>
                <c:manualLayout>
                  <c:x val="-4.7026279391424668E-2"/>
                  <c:y val="-3.346720214190093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DDF-4B9E-A808-CDEE5ED177C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NG"/>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Pivot!$F$20:$F$22</c:f>
              <c:strCache>
                <c:ptCount val="3"/>
                <c:pt idx="0">
                  <c:v>In-store</c:v>
                </c:pt>
                <c:pt idx="1">
                  <c:v>Online</c:v>
                </c:pt>
                <c:pt idx="2">
                  <c:v>WhatsApp</c:v>
                </c:pt>
              </c:strCache>
            </c:strRef>
          </c:cat>
          <c:val>
            <c:numRef>
              <c:f>Pivot!$G$20:$G$22</c:f>
              <c:numCache>
                <c:formatCode>0.0%</c:formatCode>
                <c:ptCount val="3"/>
                <c:pt idx="0">
                  <c:v>6.25E-2</c:v>
                </c:pt>
                <c:pt idx="1">
                  <c:v>0.10948905109489052</c:v>
                </c:pt>
                <c:pt idx="2">
                  <c:v>0.11494252873563218</c:v>
                </c:pt>
              </c:numCache>
            </c:numRef>
          </c:val>
          <c:extLst>
            <c:ext xmlns:c16="http://schemas.microsoft.com/office/drawing/2014/chart" uri="{C3380CC4-5D6E-409C-BE32-E72D297353CC}">
              <c16:uniqueId val="{00000006-9DDF-4B9E-A808-CDEE5ED177C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2">
          <a:lumMod val="60000"/>
          <a:lumOff val="40000"/>
        </a:schemeClr>
      </a:solidFill>
      <a:round/>
    </a:ln>
    <a:effectLst/>
  </c:spPr>
  <c:txPr>
    <a:bodyPr/>
    <a:lstStyle/>
    <a:p>
      <a:pPr>
        <a:defRPr/>
      </a:pPr>
      <a:endParaRPr lang="en-NG"/>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16</xdr:col>
      <xdr:colOff>169545</xdr:colOff>
      <xdr:row>0</xdr:row>
      <xdr:rowOff>57150</xdr:rowOff>
    </xdr:from>
    <xdr:to>
      <xdr:col>19</xdr:col>
      <xdr:colOff>245745</xdr:colOff>
      <xdr:row>3</xdr:row>
      <xdr:rowOff>57150</xdr:rowOff>
    </xdr:to>
    <xdr:sp macro="" textlink="">
      <xdr:nvSpPr>
        <xdr:cNvPr id="18" name="Rectangle: Rounded Corners 17">
          <a:extLst>
            <a:ext uri="{FF2B5EF4-FFF2-40B4-BE49-F238E27FC236}">
              <a16:creationId xmlns:a16="http://schemas.microsoft.com/office/drawing/2014/main" id="{5F0B4A54-9BA7-4C10-83F4-2FDCDD561E19}"/>
            </a:ext>
          </a:extLst>
        </xdr:cNvPr>
        <xdr:cNvSpPr/>
      </xdr:nvSpPr>
      <xdr:spPr>
        <a:xfrm>
          <a:off x="9542145" y="57150"/>
          <a:ext cx="1905000" cy="5486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12</xdr:col>
      <xdr:colOff>240030</xdr:colOff>
      <xdr:row>0</xdr:row>
      <xdr:rowOff>57150</xdr:rowOff>
    </xdr:from>
    <xdr:to>
      <xdr:col>15</xdr:col>
      <xdr:colOff>316230</xdr:colOff>
      <xdr:row>3</xdr:row>
      <xdr:rowOff>57150</xdr:rowOff>
    </xdr:to>
    <xdr:sp macro="" textlink="">
      <xdr:nvSpPr>
        <xdr:cNvPr id="17" name="Rectangle: Rounded Corners 16">
          <a:extLst>
            <a:ext uri="{FF2B5EF4-FFF2-40B4-BE49-F238E27FC236}">
              <a16:creationId xmlns:a16="http://schemas.microsoft.com/office/drawing/2014/main" id="{A2330681-43D7-454B-8998-5393428329BA}"/>
            </a:ext>
          </a:extLst>
        </xdr:cNvPr>
        <xdr:cNvSpPr/>
      </xdr:nvSpPr>
      <xdr:spPr>
        <a:xfrm>
          <a:off x="7174230" y="57150"/>
          <a:ext cx="1905000" cy="5486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8</xdr:col>
      <xdr:colOff>325755</xdr:colOff>
      <xdr:row>0</xdr:row>
      <xdr:rowOff>66675</xdr:rowOff>
    </xdr:from>
    <xdr:to>
      <xdr:col>11</xdr:col>
      <xdr:colOff>401955</xdr:colOff>
      <xdr:row>3</xdr:row>
      <xdr:rowOff>66675</xdr:rowOff>
    </xdr:to>
    <xdr:sp macro="" textlink="">
      <xdr:nvSpPr>
        <xdr:cNvPr id="16" name="Rectangle: Rounded Corners 15">
          <a:extLst>
            <a:ext uri="{FF2B5EF4-FFF2-40B4-BE49-F238E27FC236}">
              <a16:creationId xmlns:a16="http://schemas.microsoft.com/office/drawing/2014/main" id="{534C840F-F2A5-444D-B916-8AE7940764F7}"/>
            </a:ext>
          </a:extLst>
        </xdr:cNvPr>
        <xdr:cNvSpPr/>
      </xdr:nvSpPr>
      <xdr:spPr>
        <a:xfrm>
          <a:off x="4821555" y="66675"/>
          <a:ext cx="1905000" cy="5486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4</xdr:col>
      <xdr:colOff>470535</xdr:colOff>
      <xdr:row>0</xdr:row>
      <xdr:rowOff>95250</xdr:rowOff>
    </xdr:from>
    <xdr:to>
      <xdr:col>7</xdr:col>
      <xdr:colOff>546735</xdr:colOff>
      <xdr:row>3</xdr:row>
      <xdr:rowOff>95250</xdr:rowOff>
    </xdr:to>
    <xdr:sp macro="" textlink="">
      <xdr:nvSpPr>
        <xdr:cNvPr id="15" name="Rectangle: Rounded Corners 14">
          <a:extLst>
            <a:ext uri="{FF2B5EF4-FFF2-40B4-BE49-F238E27FC236}">
              <a16:creationId xmlns:a16="http://schemas.microsoft.com/office/drawing/2014/main" id="{8203D25E-04C7-4B2D-91C8-C9775B79050F}"/>
            </a:ext>
          </a:extLst>
        </xdr:cNvPr>
        <xdr:cNvSpPr/>
      </xdr:nvSpPr>
      <xdr:spPr>
        <a:xfrm>
          <a:off x="2527935" y="95250"/>
          <a:ext cx="1905000" cy="5486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xdr:col>
      <xdr:colOff>0</xdr:colOff>
      <xdr:row>0</xdr:row>
      <xdr:rowOff>95250</xdr:rowOff>
    </xdr:from>
    <xdr:to>
      <xdr:col>4</xdr:col>
      <xdr:colOff>76200</xdr:colOff>
      <xdr:row>3</xdr:row>
      <xdr:rowOff>95250</xdr:rowOff>
    </xdr:to>
    <xdr:sp macro="" textlink="">
      <xdr:nvSpPr>
        <xdr:cNvPr id="14" name="Rectangle: Rounded Corners 13">
          <a:extLst>
            <a:ext uri="{FF2B5EF4-FFF2-40B4-BE49-F238E27FC236}">
              <a16:creationId xmlns:a16="http://schemas.microsoft.com/office/drawing/2014/main" id="{D8A620D4-7B8F-9966-BD27-38CDE5B8192F}"/>
            </a:ext>
          </a:extLst>
        </xdr:cNvPr>
        <xdr:cNvSpPr/>
      </xdr:nvSpPr>
      <xdr:spPr>
        <a:xfrm>
          <a:off x="0" y="95250"/>
          <a:ext cx="1905000" cy="5429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editAs="oneCell">
    <xdr:from>
      <xdr:col>1</xdr:col>
      <xdr:colOff>3810</xdr:colOff>
      <xdr:row>3</xdr:row>
      <xdr:rowOff>152401</xdr:rowOff>
    </xdr:from>
    <xdr:to>
      <xdr:col>3</xdr:col>
      <xdr:colOff>590550</xdr:colOff>
      <xdr:row>14</xdr:row>
      <xdr:rowOff>0</xdr:rowOff>
    </xdr:to>
    <mc:AlternateContent xmlns:mc="http://schemas.openxmlformats.org/markup-compatibility/2006">
      <mc:Choice xmlns:a14="http://schemas.microsoft.com/office/drawing/2010/main" Requires="a14">
        <xdr:graphicFrame macro="">
          <xdr:nvGraphicFramePr>
            <xdr:cNvPr id="2" name="State">
              <a:extLst>
                <a:ext uri="{FF2B5EF4-FFF2-40B4-BE49-F238E27FC236}">
                  <a16:creationId xmlns:a16="http://schemas.microsoft.com/office/drawing/2014/main" id="{7DFEE760-8251-401F-B12D-A86B18B392BB}"/>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232410" y="701041"/>
              <a:ext cx="1805940" cy="1859279"/>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93345</xdr:colOff>
      <xdr:row>1</xdr:row>
      <xdr:rowOff>163830</xdr:rowOff>
    </xdr:from>
    <xdr:to>
      <xdr:col>3</xdr:col>
      <xdr:colOff>579573</xdr:colOff>
      <xdr:row>3</xdr:row>
      <xdr:rowOff>61141</xdr:rowOff>
    </xdr:to>
    <xdr:sp macro="" textlink="Pivot!N4">
      <xdr:nvSpPr>
        <xdr:cNvPr id="4" name="TextBox 3">
          <a:extLst>
            <a:ext uri="{FF2B5EF4-FFF2-40B4-BE49-F238E27FC236}">
              <a16:creationId xmlns:a16="http://schemas.microsoft.com/office/drawing/2014/main" id="{63341B89-0232-49CA-BF83-56998595062E}"/>
            </a:ext>
          </a:extLst>
        </xdr:cNvPr>
        <xdr:cNvSpPr txBox="1"/>
      </xdr:nvSpPr>
      <xdr:spPr>
        <a:xfrm>
          <a:off x="93345" y="346710"/>
          <a:ext cx="1705428" cy="263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0532D16-23F2-4E3B-B96E-9D0E520D54CB}" type="TxLink">
            <a:rPr lang="en-US" sz="2000" b="1" i="0" u="none" strike="noStrike">
              <a:solidFill>
                <a:schemeClr val="bg1"/>
              </a:solidFill>
              <a:latin typeface="Arial Narrow"/>
              <a:ea typeface="Calibri"/>
              <a:cs typeface="Calibri"/>
            </a:rPr>
            <a:t>47,810,625</a:t>
          </a:fld>
          <a:endParaRPr lang="en-GB" sz="2000" b="1">
            <a:solidFill>
              <a:schemeClr val="bg1"/>
            </a:solidFill>
            <a:latin typeface="Arial Narrow" panose="020B0606020202030204" pitchFamily="34" charset="0"/>
            <a:ea typeface="+mn-ea"/>
            <a:cs typeface="+mn-cs"/>
          </a:endParaRPr>
        </a:p>
      </xdr:txBody>
    </xdr:sp>
    <xdr:clientData/>
  </xdr:twoCellAnchor>
  <xdr:twoCellAnchor>
    <xdr:from>
      <xdr:col>4</xdr:col>
      <xdr:colOff>584835</xdr:colOff>
      <xdr:row>1</xdr:row>
      <xdr:rowOff>133350</xdr:rowOff>
    </xdr:from>
    <xdr:to>
      <xdr:col>7</xdr:col>
      <xdr:colOff>264795</xdr:colOff>
      <xdr:row>3</xdr:row>
      <xdr:rowOff>53521</xdr:rowOff>
    </xdr:to>
    <xdr:sp macro="" textlink="Pivot!N8">
      <xdr:nvSpPr>
        <xdr:cNvPr id="5" name="TextBox 4">
          <a:extLst>
            <a:ext uri="{FF2B5EF4-FFF2-40B4-BE49-F238E27FC236}">
              <a16:creationId xmlns:a16="http://schemas.microsoft.com/office/drawing/2014/main" id="{4D01F848-87E4-4737-8C94-7CF3316C034A}"/>
            </a:ext>
          </a:extLst>
        </xdr:cNvPr>
        <xdr:cNvSpPr txBox="1"/>
      </xdr:nvSpPr>
      <xdr:spPr>
        <a:xfrm>
          <a:off x="2642235" y="316230"/>
          <a:ext cx="1508760" cy="285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CC50C0F-57DC-4B3F-A618-9B8DDC4FD2B2}" type="TxLink">
            <a:rPr lang="en-US" sz="2000" b="1" i="0" u="none" strike="noStrike">
              <a:solidFill>
                <a:schemeClr val="bg1"/>
              </a:solidFill>
              <a:latin typeface="Arial Narrow"/>
              <a:ea typeface="Calibri"/>
              <a:cs typeface="Calibri"/>
            </a:rPr>
            <a:pPr marL="0" indent="0" algn="ctr"/>
            <a:t>14,970,025</a:t>
          </a:fld>
          <a:endParaRPr lang="en-GB" sz="2000" b="1" i="0" u="none" strike="noStrike">
            <a:solidFill>
              <a:schemeClr val="bg1"/>
            </a:solidFill>
            <a:latin typeface="Arial Narrow"/>
            <a:ea typeface="Calibri"/>
            <a:cs typeface="Calibri"/>
          </a:endParaRPr>
        </a:p>
      </xdr:txBody>
    </xdr:sp>
    <xdr:clientData/>
  </xdr:twoCellAnchor>
  <xdr:twoCellAnchor>
    <xdr:from>
      <xdr:col>8</xdr:col>
      <xdr:colOff>390525</xdr:colOff>
      <xdr:row>1</xdr:row>
      <xdr:rowOff>118110</xdr:rowOff>
    </xdr:from>
    <xdr:to>
      <xdr:col>11</xdr:col>
      <xdr:colOff>267153</xdr:colOff>
      <xdr:row>3</xdr:row>
      <xdr:rowOff>17326</xdr:rowOff>
    </xdr:to>
    <xdr:sp macro="" textlink="Pivot!N11">
      <xdr:nvSpPr>
        <xdr:cNvPr id="6" name="TextBox 5">
          <a:extLst>
            <a:ext uri="{FF2B5EF4-FFF2-40B4-BE49-F238E27FC236}">
              <a16:creationId xmlns:a16="http://schemas.microsoft.com/office/drawing/2014/main" id="{95BFF472-7253-43EB-8D98-ADCC79AFBAE1}"/>
            </a:ext>
          </a:extLst>
        </xdr:cNvPr>
        <xdr:cNvSpPr txBox="1"/>
      </xdr:nvSpPr>
      <xdr:spPr>
        <a:xfrm>
          <a:off x="4886325" y="300990"/>
          <a:ext cx="1705428" cy="2649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4062804-CA2E-4D62-A622-E6A95335A386}" type="TxLink">
            <a:rPr lang="en-US" sz="2000" b="1" i="0" u="none" strike="noStrike">
              <a:solidFill>
                <a:schemeClr val="bg1"/>
              </a:solidFill>
              <a:latin typeface="Arial Narrow"/>
              <a:ea typeface="Calibri"/>
              <a:cs typeface="Calibri"/>
            </a:rPr>
            <a:pPr marL="0" indent="0" algn="ctr"/>
            <a:t>32,840,600</a:t>
          </a:fld>
          <a:endParaRPr lang="en-GB" sz="2000" b="1" i="0" u="none" strike="noStrike">
            <a:solidFill>
              <a:schemeClr val="bg1"/>
            </a:solidFill>
            <a:latin typeface="Arial Narrow"/>
            <a:ea typeface="Calibri"/>
            <a:cs typeface="Calibri"/>
          </a:endParaRPr>
        </a:p>
      </xdr:txBody>
    </xdr:sp>
    <xdr:clientData/>
  </xdr:twoCellAnchor>
  <xdr:twoCellAnchor>
    <xdr:from>
      <xdr:col>16</xdr:col>
      <xdr:colOff>198120</xdr:colOff>
      <xdr:row>1</xdr:row>
      <xdr:rowOff>112395</xdr:rowOff>
    </xdr:from>
    <xdr:to>
      <xdr:col>19</xdr:col>
      <xdr:colOff>74748</xdr:colOff>
      <xdr:row>3</xdr:row>
      <xdr:rowOff>9706</xdr:rowOff>
    </xdr:to>
    <xdr:sp macro="" textlink="Pivot!N14">
      <xdr:nvSpPr>
        <xdr:cNvPr id="7" name="TextBox 6">
          <a:extLst>
            <a:ext uri="{FF2B5EF4-FFF2-40B4-BE49-F238E27FC236}">
              <a16:creationId xmlns:a16="http://schemas.microsoft.com/office/drawing/2014/main" id="{D02DE7F7-8769-40EB-B94F-4CDAE437111C}"/>
            </a:ext>
          </a:extLst>
        </xdr:cNvPr>
        <xdr:cNvSpPr txBox="1"/>
      </xdr:nvSpPr>
      <xdr:spPr>
        <a:xfrm>
          <a:off x="9570720" y="295275"/>
          <a:ext cx="1705428" cy="263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8DAA807-3D1D-4EB3-B284-252EE69C5C95}" type="TxLink">
            <a:rPr lang="en-US" sz="2000" b="1" i="0" u="none" strike="noStrike">
              <a:solidFill>
                <a:schemeClr val="bg1"/>
              </a:solidFill>
              <a:latin typeface="Arial Narrow"/>
              <a:ea typeface="Calibri"/>
              <a:cs typeface="Calibri"/>
            </a:rPr>
            <a:pPr marL="0" indent="0" algn="ctr"/>
            <a:t>432</a:t>
          </a:fld>
          <a:endParaRPr lang="en-GB" sz="2000" b="1" i="0" u="none" strike="noStrike">
            <a:solidFill>
              <a:schemeClr val="bg1"/>
            </a:solidFill>
            <a:latin typeface="Arial Narrow"/>
            <a:ea typeface="Calibri"/>
            <a:cs typeface="Calibri"/>
          </a:endParaRPr>
        </a:p>
      </xdr:txBody>
    </xdr:sp>
    <xdr:clientData/>
  </xdr:twoCellAnchor>
  <xdr:twoCellAnchor>
    <xdr:from>
      <xdr:col>12</xdr:col>
      <xdr:colOff>565785</xdr:colOff>
      <xdr:row>1</xdr:row>
      <xdr:rowOff>95250</xdr:rowOff>
    </xdr:from>
    <xdr:to>
      <xdr:col>14</xdr:col>
      <xdr:colOff>474345</xdr:colOff>
      <xdr:row>3</xdr:row>
      <xdr:rowOff>72390</xdr:rowOff>
    </xdr:to>
    <xdr:sp macro="" textlink="Pivot!N17">
      <xdr:nvSpPr>
        <xdr:cNvPr id="8" name="TextBox 7">
          <a:extLst>
            <a:ext uri="{FF2B5EF4-FFF2-40B4-BE49-F238E27FC236}">
              <a16:creationId xmlns:a16="http://schemas.microsoft.com/office/drawing/2014/main" id="{ECF80DB2-778C-F723-88EB-A73E1C8255CC}"/>
            </a:ext>
          </a:extLst>
        </xdr:cNvPr>
        <xdr:cNvSpPr txBox="1"/>
      </xdr:nvSpPr>
      <xdr:spPr>
        <a:xfrm>
          <a:off x="7499985" y="278130"/>
          <a:ext cx="112776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5F62BA7-F409-48A8-8F23-7B80A718A575}" type="TxLink">
            <a:rPr lang="en-US" sz="2000" b="1" i="0" u="none" strike="noStrike">
              <a:solidFill>
                <a:schemeClr val="bg1"/>
              </a:solidFill>
              <a:latin typeface="Arial Narrow"/>
              <a:ea typeface="Calibri"/>
              <a:cs typeface="Calibri"/>
            </a:rPr>
            <a:pPr marL="0" indent="0" algn="ctr"/>
            <a:t> 1,190 </a:t>
          </a:fld>
          <a:endParaRPr lang="en-NG" sz="2000" b="1" i="0" u="none" strike="noStrike">
            <a:solidFill>
              <a:schemeClr val="bg1"/>
            </a:solidFill>
            <a:latin typeface="Arial Narrow"/>
            <a:ea typeface="Calibri"/>
            <a:cs typeface="Calibri"/>
          </a:endParaRPr>
        </a:p>
      </xdr:txBody>
    </xdr:sp>
    <xdr:clientData/>
  </xdr:twoCellAnchor>
  <xdr:twoCellAnchor>
    <xdr:from>
      <xdr:col>4</xdr:col>
      <xdr:colOff>114300</xdr:colOff>
      <xdr:row>14</xdr:row>
      <xdr:rowOff>152400</xdr:rowOff>
    </xdr:from>
    <xdr:to>
      <xdr:col>11</xdr:col>
      <xdr:colOff>335280</xdr:colOff>
      <xdr:row>24</xdr:row>
      <xdr:rowOff>175260</xdr:rowOff>
    </xdr:to>
    <xdr:graphicFrame macro="">
      <xdr:nvGraphicFramePr>
        <xdr:cNvPr id="9" name="Chart 8">
          <a:extLst>
            <a:ext uri="{FF2B5EF4-FFF2-40B4-BE49-F238E27FC236}">
              <a16:creationId xmlns:a16="http://schemas.microsoft.com/office/drawing/2014/main" id="{5F5BBBEB-0685-4A96-BDE7-2E8D856E8F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91440</xdr:colOff>
      <xdr:row>3</xdr:row>
      <xdr:rowOff>160020</xdr:rowOff>
    </xdr:from>
    <xdr:to>
      <xdr:col>11</xdr:col>
      <xdr:colOff>327660</xdr:colOff>
      <xdr:row>14</xdr:row>
      <xdr:rowOff>30480</xdr:rowOff>
    </xdr:to>
    <xdr:graphicFrame macro="">
      <xdr:nvGraphicFramePr>
        <xdr:cNvPr id="10" name="Chart 9">
          <a:extLst>
            <a:ext uri="{FF2B5EF4-FFF2-40B4-BE49-F238E27FC236}">
              <a16:creationId xmlns:a16="http://schemas.microsoft.com/office/drawing/2014/main" id="{FDEF4CB5-B168-4A84-92D1-08DEDC97FF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533400</xdr:colOff>
      <xdr:row>4</xdr:row>
      <xdr:rowOff>9525</xdr:rowOff>
    </xdr:from>
    <xdr:to>
      <xdr:col>19</xdr:col>
      <xdr:colOff>228600</xdr:colOff>
      <xdr:row>14</xdr:row>
      <xdr:rowOff>38100</xdr:rowOff>
    </xdr:to>
    <xdr:graphicFrame macro="">
      <xdr:nvGraphicFramePr>
        <xdr:cNvPr id="11" name="Chart 10">
          <a:extLst>
            <a:ext uri="{FF2B5EF4-FFF2-40B4-BE49-F238E27FC236}">
              <a16:creationId xmlns:a16="http://schemas.microsoft.com/office/drawing/2014/main" id="{5BF7AE12-BA04-4E48-BA87-265E1D898B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504825</xdr:colOff>
      <xdr:row>14</xdr:row>
      <xdr:rowOff>142875</xdr:rowOff>
    </xdr:from>
    <xdr:to>
      <xdr:col>19</xdr:col>
      <xdr:colOff>219075</xdr:colOff>
      <xdr:row>25</xdr:row>
      <xdr:rowOff>28575</xdr:rowOff>
    </xdr:to>
    <xdr:graphicFrame macro="">
      <xdr:nvGraphicFramePr>
        <xdr:cNvPr id="12" name="Chart 11">
          <a:extLst>
            <a:ext uri="{FF2B5EF4-FFF2-40B4-BE49-F238E27FC236}">
              <a16:creationId xmlns:a16="http://schemas.microsoft.com/office/drawing/2014/main" id="{9B4E0FC8-7C5E-42B0-8F0B-D0587A79E8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14</xdr:row>
      <xdr:rowOff>133350</xdr:rowOff>
    </xdr:from>
    <xdr:to>
      <xdr:col>4</xdr:col>
      <xdr:colOff>9525</xdr:colOff>
      <xdr:row>25</xdr:row>
      <xdr:rowOff>19050</xdr:rowOff>
    </xdr:to>
    <mc:AlternateContent xmlns:mc="http://schemas.openxmlformats.org/markup-compatibility/2006">
      <mc:Choice xmlns:a14="http://schemas.microsoft.com/office/drawing/2010/main" Requires="a14">
        <xdr:graphicFrame macro="">
          <xdr:nvGraphicFramePr>
            <xdr:cNvPr id="13" name="State 1">
              <a:extLst>
                <a:ext uri="{FF2B5EF4-FFF2-40B4-BE49-F238E27FC236}">
                  <a16:creationId xmlns:a16="http://schemas.microsoft.com/office/drawing/2014/main" id="{D20857F2-9D86-4026-BA13-3E0D185D4275}"/>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dr:sp macro="" textlink="">
          <xdr:nvSpPr>
            <xdr:cNvPr id="0" name=""/>
            <xdr:cNvSpPr>
              <a:spLocks noTextEdit="1"/>
            </xdr:cNvSpPr>
          </xdr:nvSpPr>
          <xdr:spPr>
            <a:xfrm>
              <a:off x="238125" y="2693670"/>
              <a:ext cx="1828800" cy="189738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457200</xdr:colOff>
      <xdr:row>0</xdr:row>
      <xdr:rowOff>116205</xdr:rowOff>
    </xdr:from>
    <xdr:to>
      <xdr:col>3</xdr:col>
      <xdr:colOff>219075</xdr:colOff>
      <xdr:row>1</xdr:row>
      <xdr:rowOff>163830</xdr:rowOff>
    </xdr:to>
    <xdr:sp macro="" textlink="">
      <xdr:nvSpPr>
        <xdr:cNvPr id="19" name="TextBox 18">
          <a:extLst>
            <a:ext uri="{FF2B5EF4-FFF2-40B4-BE49-F238E27FC236}">
              <a16:creationId xmlns:a16="http://schemas.microsoft.com/office/drawing/2014/main" id="{396B4B91-09F8-607B-1AAD-F912D2036EEE}"/>
            </a:ext>
          </a:extLst>
        </xdr:cNvPr>
        <xdr:cNvSpPr txBox="1"/>
      </xdr:nvSpPr>
      <xdr:spPr>
        <a:xfrm>
          <a:off x="457200" y="116205"/>
          <a:ext cx="981075" cy="230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bg1"/>
              </a:solidFill>
            </a:rPr>
            <a:t>Revenue</a:t>
          </a:r>
          <a:endParaRPr lang="en-NG" sz="1400">
            <a:solidFill>
              <a:schemeClr val="bg1"/>
            </a:solidFill>
          </a:endParaRPr>
        </a:p>
      </xdr:txBody>
    </xdr:sp>
    <xdr:clientData/>
  </xdr:twoCellAnchor>
  <xdr:twoCellAnchor>
    <xdr:from>
      <xdr:col>5</xdr:col>
      <xdr:colOff>236220</xdr:colOff>
      <xdr:row>0</xdr:row>
      <xdr:rowOff>123825</xdr:rowOff>
    </xdr:from>
    <xdr:to>
      <xdr:col>6</xdr:col>
      <xdr:colOff>607695</xdr:colOff>
      <xdr:row>1</xdr:row>
      <xdr:rowOff>171450</xdr:rowOff>
    </xdr:to>
    <xdr:sp macro="" textlink="">
      <xdr:nvSpPr>
        <xdr:cNvPr id="20" name="TextBox 19">
          <a:extLst>
            <a:ext uri="{FF2B5EF4-FFF2-40B4-BE49-F238E27FC236}">
              <a16:creationId xmlns:a16="http://schemas.microsoft.com/office/drawing/2014/main" id="{6AA32BE9-6508-45F8-BF2A-51ED6A160E32}"/>
            </a:ext>
          </a:extLst>
        </xdr:cNvPr>
        <xdr:cNvSpPr txBox="1"/>
      </xdr:nvSpPr>
      <xdr:spPr>
        <a:xfrm>
          <a:off x="2903220" y="123825"/>
          <a:ext cx="981075" cy="230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a:solidFill>
                <a:schemeClr val="bg1"/>
              </a:solidFill>
              <a:latin typeface="+mn-lt"/>
              <a:ea typeface="+mn-ea"/>
              <a:cs typeface="+mn-cs"/>
            </a:rPr>
            <a:t>Profit</a:t>
          </a:r>
          <a:endParaRPr lang="en-NG" sz="1400">
            <a:solidFill>
              <a:schemeClr val="bg1"/>
            </a:solidFill>
            <a:latin typeface="+mn-lt"/>
            <a:ea typeface="+mn-ea"/>
            <a:cs typeface="+mn-cs"/>
          </a:endParaRPr>
        </a:p>
      </xdr:txBody>
    </xdr:sp>
    <xdr:clientData/>
  </xdr:twoCellAnchor>
  <xdr:twoCellAnchor>
    <xdr:from>
      <xdr:col>9</xdr:col>
      <xdr:colOff>121920</xdr:colOff>
      <xdr:row>0</xdr:row>
      <xdr:rowOff>108585</xdr:rowOff>
    </xdr:from>
    <xdr:to>
      <xdr:col>10</xdr:col>
      <xdr:colOff>493395</xdr:colOff>
      <xdr:row>1</xdr:row>
      <xdr:rowOff>156210</xdr:rowOff>
    </xdr:to>
    <xdr:sp macro="" textlink="">
      <xdr:nvSpPr>
        <xdr:cNvPr id="21" name="TextBox 20">
          <a:extLst>
            <a:ext uri="{FF2B5EF4-FFF2-40B4-BE49-F238E27FC236}">
              <a16:creationId xmlns:a16="http://schemas.microsoft.com/office/drawing/2014/main" id="{E4FCA01D-0EE8-4E8C-9E01-C70BF1472091}"/>
            </a:ext>
          </a:extLst>
        </xdr:cNvPr>
        <xdr:cNvSpPr txBox="1"/>
      </xdr:nvSpPr>
      <xdr:spPr>
        <a:xfrm>
          <a:off x="5227320" y="108585"/>
          <a:ext cx="981075" cy="230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a:solidFill>
                <a:schemeClr val="bg1"/>
              </a:solidFill>
              <a:latin typeface="+mn-lt"/>
              <a:ea typeface="+mn-ea"/>
              <a:cs typeface="+mn-cs"/>
            </a:rPr>
            <a:t>Cost</a:t>
          </a:r>
          <a:endParaRPr lang="en-NG" sz="1400">
            <a:solidFill>
              <a:schemeClr val="bg1"/>
            </a:solidFill>
            <a:latin typeface="+mn-lt"/>
            <a:ea typeface="+mn-ea"/>
            <a:cs typeface="+mn-cs"/>
          </a:endParaRPr>
        </a:p>
      </xdr:txBody>
    </xdr:sp>
    <xdr:clientData/>
  </xdr:twoCellAnchor>
  <xdr:twoCellAnchor>
    <xdr:from>
      <xdr:col>13</xdr:col>
      <xdr:colOff>45720</xdr:colOff>
      <xdr:row>0</xdr:row>
      <xdr:rowOff>70485</xdr:rowOff>
    </xdr:from>
    <xdr:to>
      <xdr:col>14</xdr:col>
      <xdr:colOff>417195</xdr:colOff>
      <xdr:row>1</xdr:row>
      <xdr:rowOff>118110</xdr:rowOff>
    </xdr:to>
    <xdr:sp macro="" textlink="">
      <xdr:nvSpPr>
        <xdr:cNvPr id="22" name="TextBox 21">
          <a:extLst>
            <a:ext uri="{FF2B5EF4-FFF2-40B4-BE49-F238E27FC236}">
              <a16:creationId xmlns:a16="http://schemas.microsoft.com/office/drawing/2014/main" id="{598EA454-7F89-4C28-B99F-412A80C089DE}"/>
            </a:ext>
          </a:extLst>
        </xdr:cNvPr>
        <xdr:cNvSpPr txBox="1"/>
      </xdr:nvSpPr>
      <xdr:spPr>
        <a:xfrm>
          <a:off x="7589520" y="70485"/>
          <a:ext cx="981075" cy="230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a:solidFill>
                <a:schemeClr val="bg1"/>
              </a:solidFill>
              <a:latin typeface="+mn-lt"/>
              <a:ea typeface="+mn-ea"/>
              <a:cs typeface="+mn-cs"/>
            </a:rPr>
            <a:t>Units Sold</a:t>
          </a:r>
          <a:endParaRPr lang="en-NG" sz="1400">
            <a:solidFill>
              <a:schemeClr val="bg1"/>
            </a:solidFill>
            <a:latin typeface="+mn-lt"/>
            <a:ea typeface="+mn-ea"/>
            <a:cs typeface="+mn-cs"/>
          </a:endParaRPr>
        </a:p>
      </xdr:txBody>
    </xdr:sp>
    <xdr:clientData/>
  </xdr:twoCellAnchor>
  <xdr:twoCellAnchor>
    <xdr:from>
      <xdr:col>16</xdr:col>
      <xdr:colOff>601980</xdr:colOff>
      <xdr:row>0</xdr:row>
      <xdr:rowOff>62865</xdr:rowOff>
    </xdr:from>
    <xdr:to>
      <xdr:col>18</xdr:col>
      <xdr:colOff>363855</xdr:colOff>
      <xdr:row>1</xdr:row>
      <xdr:rowOff>110490</xdr:rowOff>
    </xdr:to>
    <xdr:sp macro="" textlink="">
      <xdr:nvSpPr>
        <xdr:cNvPr id="23" name="TextBox 22">
          <a:extLst>
            <a:ext uri="{FF2B5EF4-FFF2-40B4-BE49-F238E27FC236}">
              <a16:creationId xmlns:a16="http://schemas.microsoft.com/office/drawing/2014/main" id="{C0F798CD-9AD7-453E-948F-45F70B630ECC}"/>
            </a:ext>
          </a:extLst>
        </xdr:cNvPr>
        <xdr:cNvSpPr txBox="1"/>
      </xdr:nvSpPr>
      <xdr:spPr>
        <a:xfrm>
          <a:off x="9974580" y="62865"/>
          <a:ext cx="981075" cy="230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a:solidFill>
                <a:schemeClr val="bg1"/>
              </a:solidFill>
              <a:latin typeface="+mn-lt"/>
              <a:ea typeface="+mn-ea"/>
              <a:cs typeface="+mn-cs"/>
            </a:rPr>
            <a:t>Orders</a:t>
          </a:r>
          <a:endParaRPr lang="en-NG" sz="1400">
            <a:solidFill>
              <a:schemeClr val="bg1"/>
            </a:solidFill>
            <a:latin typeface="+mn-lt"/>
            <a:ea typeface="+mn-ea"/>
            <a:cs typeface="+mn-cs"/>
          </a:endParaRPr>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Analysis%20Dat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ysis Data"/>
    </sheetNames>
    <sheetDataSet>
      <sheetData sheetId="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hinde ADELAKIN" refreshedDate="46292.812205902781" createdVersion="8" refreshedVersion="8" minRefreshableVersion="3" recordCount="432" xr:uid="{744C8A16-0D19-4C85-BB27-4376C21E4A92}">
  <cacheSource type="worksheet">
    <worksheetSource ref="A1:V433" sheet="Cleaned Data"/>
  </cacheSource>
  <cacheFields count="24">
    <cacheField name="Transaction_ID" numFmtId="0">
      <sharedItems containsSemiMixedTypes="0" containsString="0" containsNumber="1" containsInteger="1" minValue="100001" maxValue="100420" count="420">
        <n v="100001"/>
        <n v="100002"/>
        <n v="100003"/>
        <n v="100004"/>
        <n v="100005"/>
        <n v="100006"/>
        <n v="100007"/>
        <n v="100008"/>
        <n v="100009"/>
        <n v="100010"/>
        <n v="100011"/>
        <n v="100012"/>
        <n v="100013"/>
        <n v="100014"/>
        <n v="100015"/>
        <n v="100016"/>
        <n v="100017"/>
        <n v="100018"/>
        <n v="100019"/>
        <n v="100020"/>
        <n v="100021"/>
        <n v="100022"/>
        <n v="100023"/>
        <n v="100024"/>
        <n v="100025"/>
        <n v="100026"/>
        <n v="100027"/>
        <n v="100028"/>
        <n v="100029"/>
        <n v="100030"/>
        <n v="100031"/>
        <n v="100032"/>
        <n v="100033"/>
        <n v="100034"/>
        <n v="100035"/>
        <n v="100036"/>
        <n v="100037"/>
        <n v="100038"/>
        <n v="100039"/>
        <n v="100040"/>
        <n v="100041"/>
        <n v="100042"/>
        <n v="100043"/>
        <n v="100044"/>
        <n v="100045"/>
        <n v="100046"/>
        <n v="100047"/>
        <n v="100048"/>
        <n v="100049"/>
        <n v="100050"/>
        <n v="100051"/>
        <n v="100052"/>
        <n v="100053"/>
        <n v="100054"/>
        <n v="100055"/>
        <n v="100056"/>
        <n v="100057"/>
        <n v="100058"/>
        <n v="100059"/>
        <n v="100060"/>
        <n v="100061"/>
        <n v="100062"/>
        <n v="100063"/>
        <n v="100064"/>
        <n v="100065"/>
        <n v="100066"/>
        <n v="100067"/>
        <n v="100068"/>
        <n v="100069"/>
        <n v="100070"/>
        <n v="100071"/>
        <n v="100072"/>
        <n v="100073"/>
        <n v="100074"/>
        <n v="100075"/>
        <n v="100076"/>
        <n v="100077"/>
        <n v="100078"/>
        <n v="100079"/>
        <n v="100080"/>
        <n v="100081"/>
        <n v="100082"/>
        <n v="100083"/>
        <n v="100084"/>
        <n v="100085"/>
        <n v="100086"/>
        <n v="100087"/>
        <n v="100088"/>
        <n v="100089"/>
        <n v="100090"/>
        <n v="100091"/>
        <n v="100092"/>
        <n v="100093"/>
        <n v="100094"/>
        <n v="100095"/>
        <n v="100096"/>
        <n v="100097"/>
        <n v="100098"/>
        <n v="100099"/>
        <n v="100100"/>
        <n v="100101"/>
        <n v="100102"/>
        <n v="100103"/>
        <n v="100104"/>
        <n v="100105"/>
        <n v="100106"/>
        <n v="100107"/>
        <n v="100108"/>
        <n v="100109"/>
        <n v="100110"/>
        <n v="100111"/>
        <n v="100112"/>
        <n v="100113"/>
        <n v="100114"/>
        <n v="100115"/>
        <n v="100116"/>
        <n v="100117"/>
        <n v="100118"/>
        <n v="100119"/>
        <n v="100120"/>
        <n v="100121"/>
        <n v="100122"/>
        <n v="100123"/>
        <n v="100124"/>
        <n v="100125"/>
        <n v="100126"/>
        <n v="100127"/>
        <n v="100128"/>
        <n v="100129"/>
        <n v="100130"/>
        <n v="100131"/>
        <n v="100132"/>
        <n v="100133"/>
        <n v="100134"/>
        <n v="100135"/>
        <n v="100136"/>
        <n v="100137"/>
        <n v="100138"/>
        <n v="100139"/>
        <n v="100140"/>
        <n v="100141"/>
        <n v="100142"/>
        <n v="100143"/>
        <n v="100144"/>
        <n v="100145"/>
        <n v="100146"/>
        <n v="100147"/>
        <n v="100148"/>
        <n v="100149"/>
        <n v="100150"/>
        <n v="100151"/>
        <n v="100152"/>
        <n v="100153"/>
        <n v="100154"/>
        <n v="100155"/>
        <n v="100156"/>
        <n v="100157"/>
        <n v="100158"/>
        <n v="100159"/>
        <n v="100160"/>
        <n v="100161"/>
        <n v="100162"/>
        <n v="100163"/>
        <n v="100164"/>
        <n v="100165"/>
        <n v="100166"/>
        <n v="100167"/>
        <n v="100168"/>
        <n v="100169"/>
        <n v="100170"/>
        <n v="100171"/>
        <n v="100172"/>
        <n v="100173"/>
        <n v="100174"/>
        <n v="100175"/>
        <n v="100176"/>
        <n v="100177"/>
        <n v="100178"/>
        <n v="100179"/>
        <n v="100180"/>
        <n v="100181"/>
        <n v="100182"/>
        <n v="100183"/>
        <n v="100184"/>
        <n v="100185"/>
        <n v="100186"/>
        <n v="100187"/>
        <n v="100188"/>
        <n v="100189"/>
        <n v="100190"/>
        <n v="100191"/>
        <n v="100192"/>
        <n v="100193"/>
        <n v="100194"/>
        <n v="100195"/>
        <n v="100196"/>
        <n v="100197"/>
        <n v="100198"/>
        <n v="100199"/>
        <n v="100200"/>
        <n v="100201"/>
        <n v="100202"/>
        <n v="100203"/>
        <n v="100204"/>
        <n v="100205"/>
        <n v="100206"/>
        <n v="100207"/>
        <n v="100208"/>
        <n v="100209"/>
        <n v="100210"/>
        <n v="100211"/>
        <n v="100212"/>
        <n v="100213"/>
        <n v="100214"/>
        <n v="100215"/>
        <n v="100216"/>
        <n v="100217"/>
        <n v="100218"/>
        <n v="100219"/>
        <n v="100220"/>
        <n v="100221"/>
        <n v="100222"/>
        <n v="100223"/>
        <n v="100224"/>
        <n v="100225"/>
        <n v="100226"/>
        <n v="100227"/>
        <n v="100228"/>
        <n v="100229"/>
        <n v="100230"/>
        <n v="100231"/>
        <n v="100232"/>
        <n v="100233"/>
        <n v="100234"/>
        <n v="100235"/>
        <n v="100236"/>
        <n v="100237"/>
        <n v="100238"/>
        <n v="100239"/>
        <n v="100240"/>
        <n v="100241"/>
        <n v="100242"/>
        <n v="100243"/>
        <n v="100244"/>
        <n v="100245"/>
        <n v="100246"/>
        <n v="100247"/>
        <n v="100248"/>
        <n v="100249"/>
        <n v="100250"/>
        <n v="100251"/>
        <n v="100252"/>
        <n v="100253"/>
        <n v="100254"/>
        <n v="100255"/>
        <n v="100256"/>
        <n v="100257"/>
        <n v="100258"/>
        <n v="100259"/>
        <n v="100260"/>
        <n v="100261"/>
        <n v="100262"/>
        <n v="100263"/>
        <n v="100264"/>
        <n v="100265"/>
        <n v="100266"/>
        <n v="100267"/>
        <n v="100268"/>
        <n v="100269"/>
        <n v="100270"/>
        <n v="100271"/>
        <n v="100272"/>
        <n v="100273"/>
        <n v="100274"/>
        <n v="100275"/>
        <n v="100276"/>
        <n v="100277"/>
        <n v="100278"/>
        <n v="100279"/>
        <n v="100280"/>
        <n v="100281"/>
        <n v="100282"/>
        <n v="100283"/>
        <n v="100284"/>
        <n v="100285"/>
        <n v="100286"/>
        <n v="100287"/>
        <n v="100288"/>
        <n v="100289"/>
        <n v="100290"/>
        <n v="100291"/>
        <n v="100292"/>
        <n v="100293"/>
        <n v="100294"/>
        <n v="100295"/>
        <n v="100296"/>
        <n v="100297"/>
        <n v="100298"/>
        <n v="100299"/>
        <n v="100300"/>
        <n v="100301"/>
        <n v="100302"/>
        <n v="100303"/>
        <n v="100304"/>
        <n v="100305"/>
        <n v="100306"/>
        <n v="100307"/>
        <n v="100308"/>
        <n v="100309"/>
        <n v="100310"/>
        <n v="100311"/>
        <n v="100312"/>
        <n v="100313"/>
        <n v="100314"/>
        <n v="100315"/>
        <n v="100316"/>
        <n v="100317"/>
        <n v="100318"/>
        <n v="100319"/>
        <n v="100320"/>
        <n v="100321"/>
        <n v="100322"/>
        <n v="100323"/>
        <n v="100324"/>
        <n v="100325"/>
        <n v="100326"/>
        <n v="100327"/>
        <n v="100328"/>
        <n v="100329"/>
        <n v="100330"/>
        <n v="100331"/>
        <n v="100332"/>
        <n v="100333"/>
        <n v="100334"/>
        <n v="100335"/>
        <n v="100336"/>
        <n v="100337"/>
        <n v="100338"/>
        <n v="100339"/>
        <n v="100340"/>
        <n v="100341"/>
        <n v="100342"/>
        <n v="100343"/>
        <n v="100344"/>
        <n v="100345"/>
        <n v="100346"/>
        <n v="100347"/>
        <n v="100348"/>
        <n v="100349"/>
        <n v="100350"/>
        <n v="100351"/>
        <n v="100352"/>
        <n v="100353"/>
        <n v="100354"/>
        <n v="100355"/>
        <n v="100356"/>
        <n v="100357"/>
        <n v="100358"/>
        <n v="100359"/>
        <n v="100360"/>
        <n v="100361"/>
        <n v="100362"/>
        <n v="100363"/>
        <n v="100364"/>
        <n v="100365"/>
        <n v="100366"/>
        <n v="100367"/>
        <n v="100368"/>
        <n v="100369"/>
        <n v="100370"/>
        <n v="100371"/>
        <n v="100372"/>
        <n v="100373"/>
        <n v="100374"/>
        <n v="100375"/>
        <n v="100376"/>
        <n v="100377"/>
        <n v="100378"/>
        <n v="100379"/>
        <n v="100380"/>
        <n v="100381"/>
        <n v="100382"/>
        <n v="100383"/>
        <n v="100384"/>
        <n v="100385"/>
        <n v="100386"/>
        <n v="100387"/>
        <n v="100388"/>
        <n v="100389"/>
        <n v="100390"/>
        <n v="100391"/>
        <n v="100392"/>
        <n v="100393"/>
        <n v="100394"/>
        <n v="100395"/>
        <n v="100396"/>
        <n v="100397"/>
        <n v="100398"/>
        <n v="100399"/>
        <n v="100400"/>
        <n v="100401"/>
        <n v="100402"/>
        <n v="100403"/>
        <n v="100404"/>
        <n v="100405"/>
        <n v="100406"/>
        <n v="100407"/>
        <n v="100408"/>
        <n v="100409"/>
        <n v="100410"/>
        <n v="100411"/>
        <n v="100412"/>
        <n v="100413"/>
        <n v="100414"/>
        <n v="100415"/>
        <n v="100416"/>
        <n v="100417"/>
        <n v="100418"/>
        <n v="100419"/>
        <n v="100420"/>
      </sharedItems>
    </cacheField>
    <cacheField name="Date" numFmtId="14">
      <sharedItems containsSemiMixedTypes="0" containsNonDate="0" containsDate="1" containsString="0" minDate="2026-01-01T00:00:00" maxDate="2026-08-27T00:00:00" count="193">
        <d v="2026-05-25T00:00:00"/>
        <d v="2026-04-17T00:00:00"/>
        <d v="2026-02-26T00:00:00"/>
        <d v="2026-06-09T00:00:00"/>
        <d v="2026-05-30T00:00:00"/>
        <d v="2026-08-04T00:00:00"/>
        <d v="2026-03-09T00:00:00"/>
        <d v="2026-07-26T00:00:00"/>
        <d v="2026-01-06T00:00:00"/>
        <d v="2026-08-14T00:00:00"/>
        <d v="2026-06-27T00:00:00"/>
        <d v="2026-04-08T00:00:00"/>
        <d v="2026-05-11T00:00:00"/>
        <d v="2026-06-22T00:00:00"/>
        <d v="2026-01-09T00:00:00"/>
        <d v="2026-07-25T00:00:00"/>
        <d v="2026-01-10T00:00:00"/>
        <d v="2026-04-29T00:00:00"/>
        <d v="2026-05-06T00:00:00"/>
        <d v="2026-04-19T00:00:00"/>
        <d v="2026-01-11T00:00:00"/>
        <d v="2026-01-30T00:00:00"/>
        <d v="2026-05-08T00:00:00"/>
        <d v="2026-01-05T00:00:00"/>
        <d v="2026-06-30T00:00:00"/>
        <d v="2026-04-30T00:00:00"/>
        <d v="2026-05-14T00:00:00"/>
        <d v="2026-03-22T00:00:00"/>
        <d v="2026-07-06T00:00:00"/>
        <d v="2026-03-28T00:00:00"/>
        <d v="2026-05-10T00:00:00"/>
        <d v="2026-05-15T00:00:00"/>
        <d v="2026-02-23T00:00:00"/>
        <d v="2026-04-12T00:00:00"/>
        <d v="2026-01-15T00:00:00"/>
        <d v="2026-04-04T00:00:00"/>
        <d v="2026-05-03T00:00:00"/>
        <d v="2026-01-13T00:00:00"/>
        <d v="2026-05-09T00:00:00"/>
        <d v="2026-06-15T00:00:00"/>
        <d v="2026-01-07T00:00:00"/>
        <d v="2026-04-20T00:00:00"/>
        <d v="2026-01-17T00:00:00"/>
        <d v="2026-02-03T00:00:00"/>
        <d v="2026-06-07T00:00:00"/>
        <d v="2026-04-28T00:00:00"/>
        <d v="2026-06-05T00:00:00"/>
        <d v="2026-06-18T00:00:00"/>
        <d v="2026-06-23T00:00:00"/>
        <d v="2026-01-24T00:00:00"/>
        <d v="2026-08-17T00:00:00"/>
        <d v="2026-05-19T00:00:00"/>
        <d v="2026-04-02T00:00:00"/>
        <d v="2026-07-21T00:00:00"/>
        <d v="2026-03-26T00:00:00"/>
        <d v="2026-07-07T00:00:00"/>
        <d v="2026-03-30T00:00:00"/>
        <d v="2026-03-11T00:00:00"/>
        <d v="2026-05-05T00:00:00"/>
        <d v="2026-03-05T00:00:00"/>
        <d v="2026-08-22T00:00:00"/>
        <d v="2026-02-11T00:00:00"/>
        <d v="2026-02-05T00:00:00"/>
        <d v="2026-08-21T00:00:00"/>
        <d v="2026-05-07T00:00:00"/>
        <d v="2026-07-23T00:00:00"/>
        <d v="2026-07-24T00:00:00"/>
        <d v="2026-02-15T00:00:00"/>
        <d v="2026-01-02T00:00:00"/>
        <d v="2026-03-04T00:00:00"/>
        <d v="2026-06-17T00:00:00"/>
        <d v="2026-04-27T00:00:00"/>
        <d v="2026-07-20T00:00:00"/>
        <d v="2026-01-27T00:00:00"/>
        <d v="2026-04-10T00:00:00"/>
        <d v="2026-02-21T00:00:00"/>
        <d v="2026-03-08T00:00:00"/>
        <d v="2026-07-10T00:00:00"/>
        <d v="2026-06-26T00:00:00"/>
        <d v="2026-06-20T00:00:00"/>
        <d v="2026-02-13T00:00:00"/>
        <d v="2026-06-04T00:00:00"/>
        <d v="2026-03-01T00:00:00"/>
        <d v="2026-05-22T00:00:00"/>
        <d v="2026-07-31T00:00:00"/>
        <d v="2026-07-13T00:00:00"/>
        <d v="2026-01-26T00:00:00"/>
        <d v="2026-02-12T00:00:00"/>
        <d v="2026-06-21T00:00:00"/>
        <d v="2026-03-31T00:00:00"/>
        <d v="2026-08-26T00:00:00"/>
        <d v="2026-06-28T00:00:00"/>
        <d v="2026-02-28T00:00:00"/>
        <d v="2026-07-18T00:00:00"/>
        <d v="2026-04-01T00:00:00"/>
        <d v="2026-04-14T00:00:00"/>
        <d v="2026-08-24T00:00:00"/>
        <d v="2026-06-29T00:00:00"/>
        <d v="2026-04-09T00:00:00"/>
        <d v="2026-02-09T00:00:00"/>
        <d v="2026-04-25T00:00:00"/>
        <d v="2026-03-19T00:00:00"/>
        <d v="2026-01-21T00:00:00"/>
        <d v="2026-06-14T00:00:00"/>
        <d v="2026-03-27T00:00:00"/>
        <d v="2026-04-15T00:00:00"/>
        <d v="2026-01-16T00:00:00"/>
        <d v="2026-02-06T00:00:00"/>
        <d v="2026-07-02T00:00:00"/>
        <d v="2026-06-25T00:00:00"/>
        <d v="2026-07-12T00:00:00"/>
        <d v="2026-06-06T00:00:00"/>
        <d v="2026-07-01T00:00:00"/>
        <d v="2026-07-27T00:00:00"/>
        <d v="2026-03-25T00:00:00"/>
        <d v="2026-05-17T00:00:00"/>
        <d v="2026-05-02T00:00:00"/>
        <d v="2026-08-18T00:00:00"/>
        <d v="2026-02-02T00:00:00"/>
        <d v="2026-05-16T00:00:00"/>
        <d v="2026-03-29T00:00:00"/>
        <d v="2026-08-03T00:00:00"/>
        <d v="2026-03-14T00:00:00"/>
        <d v="2026-03-13T00:00:00"/>
        <d v="2026-07-16T00:00:00"/>
        <d v="2026-01-22T00:00:00"/>
        <d v="2026-01-19T00:00:00"/>
        <d v="2026-01-03T00:00:00"/>
        <d v="2026-05-28T00:00:00"/>
        <d v="2026-04-24T00:00:00"/>
        <d v="2026-01-29T00:00:00"/>
        <d v="2026-03-07T00:00:00"/>
        <d v="2026-05-23T00:00:00"/>
        <d v="2026-02-25T00:00:00"/>
        <d v="2026-08-01T00:00:00"/>
        <d v="2026-02-22T00:00:00"/>
        <d v="2026-03-18T00:00:00"/>
        <d v="2026-08-10T00:00:00"/>
        <d v="2026-07-04T00:00:00"/>
        <d v="2026-08-05T00:00:00"/>
        <d v="2026-04-05T00:00:00"/>
        <d v="2026-01-01T00:00:00"/>
        <d v="2026-04-16T00:00:00"/>
        <d v="2026-08-19T00:00:00"/>
        <d v="2026-02-01T00:00:00"/>
        <d v="2026-07-09T00:00:00"/>
        <d v="2026-01-08T00:00:00"/>
        <d v="2026-03-10T00:00:00"/>
        <d v="2026-06-13T00:00:00"/>
        <d v="2026-03-03T00:00:00"/>
        <d v="2026-07-28T00:00:00"/>
        <d v="2026-07-22T00:00:00"/>
        <d v="2026-07-11T00:00:00"/>
        <d v="2026-04-11T00:00:00"/>
        <d v="2026-03-06T00:00:00"/>
        <d v="2026-02-10T00:00:00"/>
        <d v="2026-01-31T00:00:00"/>
        <d v="2026-05-01T00:00:00"/>
        <d v="2026-04-07T00:00:00"/>
        <d v="2026-06-16T00:00:00"/>
        <d v="2026-08-11T00:00:00"/>
        <d v="2026-03-16T00:00:00"/>
        <d v="2026-04-18T00:00:00"/>
        <d v="2026-04-26T00:00:00"/>
        <d v="2026-02-16T00:00:00"/>
        <d v="2026-05-12T00:00:00"/>
        <d v="2026-06-02T00:00:00"/>
        <d v="2026-02-27T00:00:00"/>
        <d v="2026-08-07T00:00:00"/>
        <d v="2026-04-06T00:00:00"/>
        <d v="2026-01-18T00:00:00"/>
        <d v="2026-03-12T00:00:00"/>
        <d v="2026-02-17T00:00:00"/>
        <d v="2026-01-04T00:00:00"/>
        <d v="2026-02-04T00:00:00"/>
        <d v="2026-06-08T00:00:00"/>
        <d v="2026-07-14T00:00:00"/>
        <d v="2026-04-22T00:00:00"/>
        <d v="2026-08-12T00:00:00"/>
        <d v="2026-03-24T00:00:00"/>
        <d v="2026-07-19T00:00:00"/>
        <d v="2026-06-12T00:00:00"/>
        <d v="2026-01-28T00:00:00"/>
        <d v="2026-04-03T00:00:00"/>
        <d v="2026-08-15T00:00:00"/>
        <d v="2026-02-20T00:00:00"/>
        <d v="2026-08-25T00:00:00"/>
        <d v="2026-08-06T00:00:00"/>
        <d v="2026-04-13T00:00:00"/>
        <d v="2026-07-15T00:00:00"/>
        <d v="2026-05-31T00:00:00"/>
        <d v="2026-05-26T00:00:00"/>
        <d v="2026-03-15T00:00:00"/>
      </sharedItems>
      <fieldGroup par="23"/>
    </cacheField>
    <cacheField name="Store_ID" numFmtId="0">
      <sharedItems/>
    </cacheField>
    <cacheField name="State" numFmtId="0">
      <sharedItems count="5">
        <s v="Abuja"/>
        <s v="Lagos"/>
        <s v="Kano"/>
        <s v="Ibadan"/>
        <s v="Port Harcourt"/>
      </sharedItems>
    </cacheField>
    <cacheField name="Channel" numFmtId="0">
      <sharedItems count="3">
        <s v="WhatsApp"/>
        <s v="Online"/>
        <s v="In-store"/>
      </sharedItems>
    </cacheField>
    <cacheField name="Product_Category " numFmtId="0">
      <sharedItems count="3">
        <s v="Home"/>
        <s v="Electronics"/>
        <s v="Accessories"/>
      </sharedItems>
    </cacheField>
    <cacheField name="Product" numFmtId="0">
      <sharedItems count="9">
        <s v="Standing Fan"/>
        <s v="Smartphone"/>
        <s v="Earbuds"/>
        <s v="Power Bank"/>
        <s v="USB Cable"/>
        <s v="Blender"/>
        <s v="Phone Case"/>
        <s v="Electric Kettle"/>
        <s v="Backpack"/>
      </sharedItems>
    </cacheField>
    <cacheField name="Customer_ID" numFmtId="0">
      <sharedItems/>
    </cacheField>
    <cacheField name="Customer_Type" numFmtId="0">
      <sharedItems/>
    </cacheField>
    <cacheField name="Units" numFmtId="0">
      <sharedItems containsSemiMixedTypes="0" containsString="0" containsNumber="1" containsInteger="1" minValue="1" maxValue="25"/>
    </cacheField>
    <cacheField name="Unit_Price_NGN" numFmtId="3">
      <sharedItems containsSemiMixedTypes="0" containsString="0" containsNumber="1" containsInteger="1" minValue="6500" maxValue="165000"/>
    </cacheField>
    <cacheField name="Discount_Pct" numFmtId="9">
      <sharedItems containsSemiMixedTypes="0" containsString="0" containsNumber="1" minValue="0" maxValue="0.25"/>
    </cacheField>
    <cacheField name="Revenue_Reported_NGN" numFmtId="3">
      <sharedItems containsSemiMixedTypes="0" containsString="0" containsNumber="1" containsInteger="1" minValue="4680" maxValue="783750"/>
    </cacheField>
    <cacheField name="Revenue_Reported_NGN (Correct)" numFmtId="3">
      <sharedItems containsSemiMixedTypes="0" containsString="0" containsNumber="1" containsInteger="1" minValue="5525" maxValue="783750"/>
    </cacheField>
    <cacheField name="Cost_Per_Unit_NGN" numFmtId="0">
      <sharedItems containsSemiMixedTypes="0" containsString="0" containsNumber="1" containsInteger="1" minValue="0" maxValue="112000"/>
    </cacheField>
    <cacheField name="Cost_Per_Unit_NGN (Correct)" numFmtId="3">
      <sharedItems containsSemiMixedTypes="0" containsString="0" containsNumber="1" containsInteger="1" minValue="2200" maxValue="112000"/>
    </cacheField>
    <cacheField name="Total_Cost _NGN" numFmtId="3">
      <sharedItems containsSemiMixedTypes="0" containsString="0" containsNumber="1" containsInteger="1" minValue="2200" maxValue="560000"/>
    </cacheField>
    <cacheField name="Profit_NGN" numFmtId="3">
      <sharedItems containsSemiMixedTypes="0" containsString="0" containsNumber="1" containsInteger="1" minValue="3000" maxValue="265000"/>
    </cacheField>
    <cacheField name="Return_Flag" numFmtId="0">
      <sharedItems/>
    </cacheField>
    <cacheField name="Sales_Rep" numFmtId="0">
      <sharedItems/>
    </cacheField>
    <cacheField name="Month" numFmtId="0">
      <sharedItems/>
    </cacheField>
    <cacheField name="Return_Flag_Index" numFmtId="166">
      <sharedItems containsSemiMixedTypes="0" containsString="0" containsNumber="1" containsInteger="1" minValue="0" maxValue="1"/>
    </cacheField>
    <cacheField name="Days (Date)" numFmtId="0" databaseField="0">
      <fieldGroup base="1">
        <rangePr groupBy="days" startDate="2026-01-01T00:00:00" endDate="2026-08-27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t"/>
          <s v="02-Sept"/>
          <s v="03-Sept"/>
          <s v="04-Sept"/>
          <s v="05-Sept"/>
          <s v="06-Sept"/>
          <s v="07-Sept"/>
          <s v="08-Sept"/>
          <s v="09-Sept"/>
          <s v="10-Sept"/>
          <s v="11-Sept"/>
          <s v="12-Sept"/>
          <s v="13-Sept"/>
          <s v="14-Sept"/>
          <s v="15-Sept"/>
          <s v="16-Sept"/>
          <s v="17-Sept"/>
          <s v="18-Sept"/>
          <s v="19-Sept"/>
          <s v="20-Sept"/>
          <s v="21-Sept"/>
          <s v="22-Sept"/>
          <s v="23-Sept"/>
          <s v="24-Sept"/>
          <s v="25-Sept"/>
          <s v="26-Sept"/>
          <s v="27-Sept"/>
          <s v="28-Sept"/>
          <s v="29-Sept"/>
          <s v="30-Sept"/>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7/08/2026"/>
        </groupItems>
      </fieldGroup>
    </cacheField>
    <cacheField name="Months (Date)" numFmtId="0" databaseField="0">
      <fieldGroup base="1">
        <rangePr groupBy="months" startDate="2026-01-01T00:00:00" endDate="2026-08-27T00:00:00"/>
        <groupItems count="14">
          <s v="&lt;01/01/2026"/>
          <s v="Jan"/>
          <s v="Feb"/>
          <s v="Mar"/>
          <s v="Apr"/>
          <s v="May"/>
          <s v="Jun"/>
          <s v="Jul"/>
          <s v="Aug"/>
          <s v="Sept"/>
          <s v="Oct"/>
          <s v="Nov"/>
          <s v="Dec"/>
          <s v="&gt;27/08/2026"/>
        </groupItems>
      </fieldGroup>
    </cacheField>
  </cacheFields>
  <extLst>
    <ext xmlns:x14="http://schemas.microsoft.com/office/spreadsheetml/2009/9/main" uri="{725AE2AE-9491-48be-B2B4-4EB974FC3084}">
      <x14:pivotCacheDefinition pivotCacheId="20805932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2">
  <r>
    <x v="0"/>
    <x v="0"/>
    <s v="AB-02"/>
    <x v="0"/>
    <x v="0"/>
    <x v="0"/>
    <x v="0"/>
    <s v="C1141"/>
    <s v="New"/>
    <n v="1"/>
    <n v="58000"/>
    <n v="0"/>
    <n v="58000"/>
    <n v="58000"/>
    <n v="0"/>
    <n v="39000"/>
    <n v="39000"/>
    <n v="19000"/>
    <s v="No"/>
    <s v="Chinedu"/>
    <s v="May"/>
    <n v="0"/>
  </r>
  <r>
    <x v="1"/>
    <x v="1"/>
    <s v="LG-01"/>
    <x v="1"/>
    <x v="0"/>
    <x v="1"/>
    <x v="1"/>
    <s v="C1083"/>
    <s v="Returning"/>
    <n v="5"/>
    <n v="165000"/>
    <n v="0.05"/>
    <n v="627000"/>
    <n v="783750"/>
    <n v="112000"/>
    <n v="112000"/>
    <n v="560000"/>
    <n v="223750"/>
    <s v="No"/>
    <s v="Kemi"/>
    <s v="April"/>
    <n v="0"/>
  </r>
  <r>
    <x v="2"/>
    <x v="2"/>
    <s v="AB-01"/>
    <x v="0"/>
    <x v="0"/>
    <x v="1"/>
    <x v="2"/>
    <s v="C1029"/>
    <s v="Returning"/>
    <n v="3"/>
    <n v="32000"/>
    <n v="0.2"/>
    <n v="76800"/>
    <n v="76800"/>
    <n v="19000"/>
    <n v="19000"/>
    <n v="57000"/>
    <n v="19800"/>
    <s v="No"/>
    <s v="Chinedu"/>
    <s v="February"/>
    <n v="0"/>
  </r>
  <r>
    <x v="3"/>
    <x v="3"/>
    <s v="KN-01"/>
    <x v="2"/>
    <x v="1"/>
    <x v="1"/>
    <x v="3"/>
    <s v="C1082"/>
    <s v="Returning"/>
    <n v="4"/>
    <n v="26000"/>
    <n v="0"/>
    <n v="104000"/>
    <n v="104000"/>
    <n v="15000"/>
    <n v="15000"/>
    <n v="60000"/>
    <n v="44000"/>
    <s v="No"/>
    <s v="Grace"/>
    <s v="June"/>
    <n v="0"/>
  </r>
  <r>
    <x v="4"/>
    <x v="4"/>
    <s v="LG-01"/>
    <x v="1"/>
    <x v="1"/>
    <x v="1"/>
    <x v="1"/>
    <s v="C1180"/>
    <s v="Returning"/>
    <n v="1"/>
    <n v="165000"/>
    <n v="0.05"/>
    <n v="156750"/>
    <n v="156750"/>
    <n v="112000"/>
    <n v="112000"/>
    <n v="112000"/>
    <n v="44750"/>
    <s v="No"/>
    <s v="Chinedu"/>
    <s v="May"/>
    <n v="0"/>
  </r>
  <r>
    <x v="5"/>
    <x v="5"/>
    <s v="LG-02"/>
    <x v="1"/>
    <x v="2"/>
    <x v="2"/>
    <x v="4"/>
    <s v="C1161"/>
    <s v="Returning"/>
    <n v="3"/>
    <n v="6500"/>
    <n v="0.1"/>
    <n v="17550"/>
    <n v="17550"/>
    <n v="2200"/>
    <n v="2200"/>
    <n v="6600"/>
    <n v="10950"/>
    <s v="No"/>
    <s v="Bola"/>
    <s v="August"/>
    <n v="0"/>
  </r>
  <r>
    <x v="6"/>
    <x v="6"/>
    <s v="LG-01"/>
    <x v="1"/>
    <x v="2"/>
    <x v="1"/>
    <x v="3"/>
    <s v="C1007"/>
    <s v="New"/>
    <n v="3"/>
    <n v="26000"/>
    <n v="0.1"/>
    <n v="70200"/>
    <n v="70200"/>
    <n v="15000"/>
    <n v="15000"/>
    <n v="45000"/>
    <n v="25200"/>
    <s v="No"/>
    <s v="Chinedu"/>
    <s v="March"/>
    <n v="0"/>
  </r>
  <r>
    <x v="7"/>
    <x v="7"/>
    <s v="KN-01"/>
    <x v="2"/>
    <x v="1"/>
    <x v="1"/>
    <x v="1"/>
    <s v="C1051"/>
    <s v="Returning"/>
    <n v="5"/>
    <n v="165000"/>
    <n v="0.05"/>
    <n v="783750"/>
    <n v="783750"/>
    <n v="112000"/>
    <n v="112000"/>
    <n v="560000"/>
    <n v="223750"/>
    <s v="No"/>
    <s v="Kemi"/>
    <s v="July"/>
    <n v="0"/>
  </r>
  <r>
    <x v="8"/>
    <x v="8"/>
    <s v="IB-01"/>
    <x v="3"/>
    <x v="2"/>
    <x v="0"/>
    <x v="5"/>
    <s v="C1111"/>
    <s v="Returning"/>
    <n v="3"/>
    <n v="42000"/>
    <n v="0.15"/>
    <n v="107100"/>
    <n v="107100"/>
    <n v="28000"/>
    <n v="28000"/>
    <n v="84000"/>
    <n v="23100"/>
    <s v="No"/>
    <s v="Fatima"/>
    <s v="January"/>
    <n v="0"/>
  </r>
  <r>
    <x v="9"/>
    <x v="9"/>
    <s v="PH-01"/>
    <x v="4"/>
    <x v="2"/>
    <x v="1"/>
    <x v="1"/>
    <s v="C1153"/>
    <s v="Returning"/>
    <n v="1"/>
    <n v="165000"/>
    <n v="0"/>
    <n v="165000"/>
    <n v="165000"/>
    <n v="112000"/>
    <n v="112000"/>
    <n v="112000"/>
    <n v="53000"/>
    <s v="No"/>
    <s v="David"/>
    <s v="August"/>
    <n v="0"/>
  </r>
  <r>
    <x v="10"/>
    <x v="10"/>
    <s v="LG-01"/>
    <x v="1"/>
    <x v="2"/>
    <x v="1"/>
    <x v="2"/>
    <s v="C1059"/>
    <s v="Returning"/>
    <n v="1"/>
    <n v="32000"/>
    <n v="0"/>
    <n v="32000"/>
    <n v="32000"/>
    <n v="19000"/>
    <n v="19000"/>
    <n v="19000"/>
    <n v="13000"/>
    <s v="No"/>
    <s v="David"/>
    <s v="June"/>
    <n v="0"/>
  </r>
  <r>
    <x v="11"/>
    <x v="11"/>
    <s v="KN-01"/>
    <x v="2"/>
    <x v="1"/>
    <x v="2"/>
    <x v="6"/>
    <s v="C1028"/>
    <s v="New"/>
    <n v="1"/>
    <n v="9000"/>
    <n v="0"/>
    <n v="9000"/>
    <n v="9000"/>
    <n v="3500"/>
    <n v="3500"/>
    <n v="3500"/>
    <n v="5500"/>
    <s v="No"/>
    <s v="David"/>
    <s v="April"/>
    <n v="0"/>
  </r>
  <r>
    <x v="12"/>
    <x v="12"/>
    <s v="IB-01"/>
    <x v="3"/>
    <x v="2"/>
    <x v="0"/>
    <x v="7"/>
    <s v="C1192"/>
    <s v="New"/>
    <n v="2"/>
    <n v="24000"/>
    <n v="0"/>
    <n v="48000"/>
    <n v="48000"/>
    <n v="15000"/>
    <n v="15000"/>
    <n v="30000"/>
    <n v="18000"/>
    <s v="No"/>
    <s v="Ibrahim"/>
    <s v="May"/>
    <n v="0"/>
  </r>
  <r>
    <x v="13"/>
    <x v="13"/>
    <s v="AB-02"/>
    <x v="0"/>
    <x v="0"/>
    <x v="2"/>
    <x v="8"/>
    <s v="C1022"/>
    <s v="Returning"/>
    <n v="2"/>
    <n v="28000"/>
    <n v="0.25"/>
    <n v="42000"/>
    <n v="42000"/>
    <n v="0"/>
    <n v="16000"/>
    <n v="32000"/>
    <n v="10000"/>
    <s v="No"/>
    <s v="Fatima"/>
    <s v="June"/>
    <n v="0"/>
  </r>
  <r>
    <x v="14"/>
    <x v="14"/>
    <s v="PH-01"/>
    <x v="4"/>
    <x v="2"/>
    <x v="1"/>
    <x v="1"/>
    <s v="C1084"/>
    <s v="New"/>
    <n v="2"/>
    <n v="165000"/>
    <n v="0"/>
    <n v="330000"/>
    <n v="330000"/>
    <n v="112000"/>
    <n v="112000"/>
    <n v="224000"/>
    <n v="106000"/>
    <s v="No"/>
    <s v="Grace"/>
    <s v="January"/>
    <n v="0"/>
  </r>
  <r>
    <x v="15"/>
    <x v="15"/>
    <s v="LG-02"/>
    <x v="1"/>
    <x v="1"/>
    <x v="2"/>
    <x v="4"/>
    <s v="C1123"/>
    <s v="New"/>
    <n v="1"/>
    <n v="6500"/>
    <n v="0.1"/>
    <n v="4680"/>
    <n v="5850"/>
    <n v="2200"/>
    <n v="2200"/>
    <n v="2200"/>
    <n v="3650"/>
    <s v="No"/>
    <s v="Kemi"/>
    <s v="July"/>
    <n v="0"/>
  </r>
  <r>
    <x v="16"/>
    <x v="16"/>
    <s v="KN-01"/>
    <x v="2"/>
    <x v="0"/>
    <x v="0"/>
    <x v="5"/>
    <s v="C1134"/>
    <s v="New"/>
    <n v="2"/>
    <n v="42000"/>
    <n v="0"/>
    <n v="84000"/>
    <n v="84000"/>
    <n v="28000"/>
    <n v="28000"/>
    <n v="56000"/>
    <n v="28000"/>
    <s v="No"/>
    <s v="Ibrahim"/>
    <s v="January"/>
    <n v="0"/>
  </r>
  <r>
    <x v="17"/>
    <x v="17"/>
    <s v="PH-01"/>
    <x v="4"/>
    <x v="2"/>
    <x v="2"/>
    <x v="4"/>
    <s v="C1100"/>
    <s v="Returning"/>
    <n v="22"/>
    <n v="6500"/>
    <n v="0.15"/>
    <n v="121550"/>
    <n v="121550"/>
    <n v="2200"/>
    <n v="2200"/>
    <n v="48400"/>
    <n v="73150"/>
    <s v="No"/>
    <s v="Kemi"/>
    <s v="April"/>
    <n v="0"/>
  </r>
  <r>
    <x v="18"/>
    <x v="18"/>
    <s v="LG-01"/>
    <x v="1"/>
    <x v="2"/>
    <x v="1"/>
    <x v="3"/>
    <s v="C1189"/>
    <s v="Returning"/>
    <n v="1"/>
    <n v="26000"/>
    <n v="0.15"/>
    <n v="22100"/>
    <n v="22100"/>
    <n v="15000"/>
    <n v="15000"/>
    <n v="15000"/>
    <n v="7100"/>
    <s v="No"/>
    <s v="Bola"/>
    <s v="May"/>
    <n v="0"/>
  </r>
  <r>
    <x v="19"/>
    <x v="19"/>
    <s v="AB-02"/>
    <x v="0"/>
    <x v="2"/>
    <x v="1"/>
    <x v="3"/>
    <s v="C1050"/>
    <s v="Returning"/>
    <n v="1"/>
    <n v="26000"/>
    <n v="0.25"/>
    <n v="19500"/>
    <n v="19500"/>
    <n v="0"/>
    <n v="15000"/>
    <n v="15000"/>
    <n v="4500"/>
    <s v="No"/>
    <s v="Ibrahim"/>
    <s v="April"/>
    <n v="0"/>
  </r>
  <r>
    <x v="20"/>
    <x v="18"/>
    <s v="AB-02"/>
    <x v="0"/>
    <x v="0"/>
    <x v="1"/>
    <x v="3"/>
    <s v="C1184"/>
    <s v="New"/>
    <n v="1"/>
    <n v="26000"/>
    <n v="0"/>
    <n v="26000"/>
    <n v="26000"/>
    <n v="15000"/>
    <n v="15000"/>
    <n v="15000"/>
    <n v="11000"/>
    <s v="No"/>
    <s v="Kemi"/>
    <s v="May"/>
    <n v="0"/>
  </r>
  <r>
    <x v="21"/>
    <x v="20"/>
    <s v="IB-01"/>
    <x v="3"/>
    <x v="0"/>
    <x v="2"/>
    <x v="8"/>
    <s v="C1022"/>
    <s v="New"/>
    <n v="1"/>
    <n v="28000"/>
    <n v="0.05"/>
    <n v="26600"/>
    <n v="26600"/>
    <n v="16000"/>
    <n v="16000"/>
    <n v="16000"/>
    <n v="10600"/>
    <s v="No"/>
    <s v="Bola"/>
    <s v="January"/>
    <n v="0"/>
  </r>
  <r>
    <x v="22"/>
    <x v="21"/>
    <s v="AB-01"/>
    <x v="0"/>
    <x v="1"/>
    <x v="1"/>
    <x v="2"/>
    <s v="C1004"/>
    <s v="Returning"/>
    <n v="1"/>
    <n v="32000"/>
    <n v="0.15"/>
    <n v="27200"/>
    <n v="27200"/>
    <n v="19000"/>
    <n v="19000"/>
    <n v="19000"/>
    <n v="8200"/>
    <s v="No"/>
    <s v="David"/>
    <s v="January"/>
    <n v="0"/>
  </r>
  <r>
    <x v="23"/>
    <x v="22"/>
    <s v="AB-01"/>
    <x v="0"/>
    <x v="2"/>
    <x v="0"/>
    <x v="0"/>
    <s v="C1034"/>
    <s v="New"/>
    <n v="2"/>
    <n v="58000"/>
    <n v="0.2"/>
    <n v="92800"/>
    <n v="92800"/>
    <n v="0"/>
    <n v="39000"/>
    <n v="78000"/>
    <n v="14800"/>
    <s v="Yes"/>
    <s v="Grace"/>
    <s v="May"/>
    <n v="1"/>
  </r>
  <r>
    <x v="24"/>
    <x v="23"/>
    <s v="KN-01"/>
    <x v="2"/>
    <x v="2"/>
    <x v="0"/>
    <x v="0"/>
    <s v="C1164"/>
    <s v="Returning"/>
    <n v="5"/>
    <n v="58000"/>
    <n v="0.05"/>
    <n v="275500"/>
    <n v="275500"/>
    <n v="39000"/>
    <n v="39000"/>
    <n v="195000"/>
    <n v="80500"/>
    <s v="No"/>
    <s v="David"/>
    <s v="January"/>
    <n v="0"/>
  </r>
  <r>
    <x v="25"/>
    <x v="24"/>
    <s v="IB-01"/>
    <x v="3"/>
    <x v="2"/>
    <x v="2"/>
    <x v="6"/>
    <s v="C1155"/>
    <s v="Returning"/>
    <n v="2"/>
    <n v="9000"/>
    <n v="0.1"/>
    <n v="16200"/>
    <n v="16200"/>
    <n v="0"/>
    <n v="3500"/>
    <n v="7000"/>
    <n v="9200"/>
    <s v="No"/>
    <s v="Chinedu"/>
    <s v="June"/>
    <n v="0"/>
  </r>
  <r>
    <x v="26"/>
    <x v="25"/>
    <s v="KN-01"/>
    <x v="2"/>
    <x v="0"/>
    <x v="0"/>
    <x v="0"/>
    <s v="C1073"/>
    <s v="New"/>
    <n v="4"/>
    <n v="58000"/>
    <n v="0.05"/>
    <n v="220400"/>
    <n v="220400"/>
    <n v="39000"/>
    <n v="39000"/>
    <n v="156000"/>
    <n v="64400"/>
    <s v="No"/>
    <s v="David"/>
    <s v="April"/>
    <n v="0"/>
  </r>
  <r>
    <x v="27"/>
    <x v="26"/>
    <s v="AB-01"/>
    <x v="0"/>
    <x v="1"/>
    <x v="1"/>
    <x v="3"/>
    <s v="C1136"/>
    <s v="Returning"/>
    <n v="22"/>
    <n v="26000"/>
    <n v="0.25"/>
    <n v="429000"/>
    <n v="429000"/>
    <n v="15000"/>
    <n v="15000"/>
    <n v="330000"/>
    <n v="99000"/>
    <s v="No"/>
    <s v="Bola"/>
    <s v="May"/>
    <n v="0"/>
  </r>
  <r>
    <x v="28"/>
    <x v="27"/>
    <s v="AB-01"/>
    <x v="0"/>
    <x v="2"/>
    <x v="0"/>
    <x v="0"/>
    <s v="C1173"/>
    <s v="Returning"/>
    <n v="5"/>
    <n v="58000"/>
    <n v="0.1"/>
    <n v="261000"/>
    <n v="261000"/>
    <n v="0"/>
    <n v="39000"/>
    <n v="195000"/>
    <n v="66000"/>
    <s v="No"/>
    <s v="Chinedu"/>
    <s v="March"/>
    <n v="0"/>
  </r>
  <r>
    <x v="29"/>
    <x v="28"/>
    <s v="KN-01"/>
    <x v="2"/>
    <x v="1"/>
    <x v="1"/>
    <x v="3"/>
    <s v="C1071"/>
    <s v="New"/>
    <n v="1"/>
    <n v="26000"/>
    <n v="0.05"/>
    <n v="24700"/>
    <n v="24700"/>
    <n v="15000"/>
    <n v="15000"/>
    <n v="15000"/>
    <n v="9700"/>
    <s v="No"/>
    <s v="David"/>
    <s v="July"/>
    <n v="0"/>
  </r>
  <r>
    <x v="30"/>
    <x v="3"/>
    <s v="AB-01"/>
    <x v="0"/>
    <x v="2"/>
    <x v="0"/>
    <x v="0"/>
    <s v="C1047"/>
    <s v="New"/>
    <n v="2"/>
    <n v="58000"/>
    <n v="0.15"/>
    <n v="98600"/>
    <n v="98600"/>
    <n v="39000"/>
    <n v="39000"/>
    <n v="78000"/>
    <n v="20600"/>
    <s v="No"/>
    <s v="Aisha"/>
    <s v="June"/>
    <n v="0"/>
  </r>
  <r>
    <x v="31"/>
    <x v="29"/>
    <s v="PH-01"/>
    <x v="4"/>
    <x v="1"/>
    <x v="0"/>
    <x v="7"/>
    <s v="C1051"/>
    <s v="New"/>
    <n v="1"/>
    <n v="24000"/>
    <n v="0.05"/>
    <n v="22800"/>
    <n v="22800"/>
    <n v="15000"/>
    <n v="15000"/>
    <n v="15000"/>
    <n v="7800"/>
    <s v="No"/>
    <s v="Kemi"/>
    <s v="March"/>
    <n v="0"/>
  </r>
  <r>
    <x v="32"/>
    <x v="30"/>
    <s v="LG-01"/>
    <x v="1"/>
    <x v="2"/>
    <x v="0"/>
    <x v="0"/>
    <s v="C1094"/>
    <s v="New"/>
    <n v="3"/>
    <n v="58000"/>
    <n v="0"/>
    <n v="174000"/>
    <n v="174000"/>
    <n v="39000"/>
    <n v="39000"/>
    <n v="117000"/>
    <n v="57000"/>
    <s v="No"/>
    <s v="Aisha"/>
    <s v="May"/>
    <n v="0"/>
  </r>
  <r>
    <x v="33"/>
    <x v="31"/>
    <s v="PH-01"/>
    <x v="4"/>
    <x v="2"/>
    <x v="0"/>
    <x v="0"/>
    <s v="C1089"/>
    <s v="Returning"/>
    <n v="1"/>
    <n v="58000"/>
    <n v="0.15"/>
    <n v="49300"/>
    <n v="49300"/>
    <n v="39000"/>
    <n v="39000"/>
    <n v="39000"/>
    <n v="10300"/>
    <s v="No"/>
    <s v="Bola"/>
    <s v="May"/>
    <n v="0"/>
  </r>
  <r>
    <x v="34"/>
    <x v="32"/>
    <s v="KN-01"/>
    <x v="2"/>
    <x v="2"/>
    <x v="2"/>
    <x v="8"/>
    <s v="C1048"/>
    <s v="Returning"/>
    <n v="25"/>
    <n v="28000"/>
    <n v="0.05"/>
    <n v="665000"/>
    <n v="665000"/>
    <n v="16000"/>
    <n v="16000"/>
    <n v="400000"/>
    <n v="265000"/>
    <s v="No"/>
    <s v="Ibrahim"/>
    <s v="February"/>
    <n v="0"/>
  </r>
  <r>
    <x v="35"/>
    <x v="32"/>
    <s v="KN-01"/>
    <x v="2"/>
    <x v="2"/>
    <x v="1"/>
    <x v="2"/>
    <s v="C1056"/>
    <s v="New"/>
    <n v="2"/>
    <n v="32000"/>
    <n v="0.05"/>
    <n v="60800"/>
    <n v="60800"/>
    <n v="19000"/>
    <n v="19000"/>
    <n v="38000"/>
    <n v="22800"/>
    <s v="Yes"/>
    <s v="Bola"/>
    <s v="February"/>
    <n v="1"/>
  </r>
  <r>
    <x v="36"/>
    <x v="33"/>
    <s v="AB-01"/>
    <x v="0"/>
    <x v="2"/>
    <x v="2"/>
    <x v="8"/>
    <s v="C1036"/>
    <s v="New"/>
    <n v="2"/>
    <n v="28000"/>
    <n v="0"/>
    <n v="56000"/>
    <n v="56000"/>
    <n v="16000"/>
    <n v="16000"/>
    <n v="32000"/>
    <n v="24000"/>
    <s v="No"/>
    <s v="Grace"/>
    <s v="April"/>
    <n v="0"/>
  </r>
  <r>
    <x v="37"/>
    <x v="34"/>
    <s v="KN-01"/>
    <x v="2"/>
    <x v="1"/>
    <x v="1"/>
    <x v="2"/>
    <s v="C1138"/>
    <s v="Returning"/>
    <n v="2"/>
    <n v="32000"/>
    <n v="0"/>
    <n v="64000"/>
    <n v="64000"/>
    <n v="19000"/>
    <n v="19000"/>
    <n v="38000"/>
    <n v="26000"/>
    <s v="No"/>
    <s v="Aisha"/>
    <s v="January"/>
    <n v="0"/>
  </r>
  <r>
    <x v="38"/>
    <x v="35"/>
    <s v="AB-02"/>
    <x v="0"/>
    <x v="1"/>
    <x v="2"/>
    <x v="4"/>
    <s v="C1044"/>
    <s v="New"/>
    <n v="3"/>
    <n v="6500"/>
    <n v="0.1"/>
    <n v="17550"/>
    <n v="17550"/>
    <n v="2200"/>
    <n v="2200"/>
    <n v="6600"/>
    <n v="10950"/>
    <s v="No"/>
    <s v="Grace"/>
    <s v="April"/>
    <n v="0"/>
  </r>
  <r>
    <x v="39"/>
    <x v="36"/>
    <s v="AB-01"/>
    <x v="0"/>
    <x v="0"/>
    <x v="0"/>
    <x v="0"/>
    <s v="C1063"/>
    <s v="Returning"/>
    <n v="1"/>
    <n v="58000"/>
    <n v="0.05"/>
    <n v="55100"/>
    <n v="55100"/>
    <n v="39000"/>
    <n v="39000"/>
    <n v="39000"/>
    <n v="16100"/>
    <s v="No"/>
    <s v="Kemi"/>
    <s v="May"/>
    <n v="0"/>
  </r>
  <r>
    <x v="40"/>
    <x v="37"/>
    <s v="PH-01"/>
    <x v="4"/>
    <x v="0"/>
    <x v="1"/>
    <x v="2"/>
    <s v="C1001"/>
    <s v="Returning"/>
    <n v="3"/>
    <n v="32000"/>
    <n v="0.1"/>
    <n v="86400"/>
    <n v="86400"/>
    <n v="19000"/>
    <n v="19000"/>
    <n v="57000"/>
    <n v="29400"/>
    <s v="No"/>
    <s v="Bola"/>
    <s v="January"/>
    <n v="0"/>
  </r>
  <r>
    <x v="41"/>
    <x v="38"/>
    <s v="IB-01"/>
    <x v="3"/>
    <x v="0"/>
    <x v="1"/>
    <x v="1"/>
    <s v="C1174"/>
    <s v="Returning"/>
    <n v="2"/>
    <n v="165000"/>
    <n v="0"/>
    <n v="330000"/>
    <n v="330000"/>
    <n v="112000"/>
    <n v="112000"/>
    <n v="224000"/>
    <n v="106000"/>
    <s v="No"/>
    <s v="Chinedu"/>
    <s v="May"/>
    <n v="0"/>
  </r>
  <r>
    <x v="42"/>
    <x v="39"/>
    <s v="IB-01"/>
    <x v="3"/>
    <x v="2"/>
    <x v="0"/>
    <x v="7"/>
    <s v="C1169"/>
    <s v="Returning"/>
    <n v="2"/>
    <n v="24000"/>
    <n v="0.15"/>
    <n v="40800"/>
    <n v="40800"/>
    <n v="15000"/>
    <n v="15000"/>
    <n v="30000"/>
    <n v="10800"/>
    <s v="No"/>
    <s v="Bola"/>
    <s v="June"/>
    <n v="0"/>
  </r>
  <r>
    <x v="43"/>
    <x v="0"/>
    <s v="AB-01"/>
    <x v="0"/>
    <x v="1"/>
    <x v="0"/>
    <x v="7"/>
    <s v="C1081"/>
    <s v="Returning"/>
    <n v="1"/>
    <n v="24000"/>
    <n v="0.2"/>
    <n v="19200"/>
    <n v="19200"/>
    <n v="15000"/>
    <n v="15000"/>
    <n v="15000"/>
    <n v="4200"/>
    <s v="No"/>
    <s v="Fatima"/>
    <s v="May"/>
    <n v="0"/>
  </r>
  <r>
    <x v="44"/>
    <x v="40"/>
    <s v="LG-02"/>
    <x v="1"/>
    <x v="1"/>
    <x v="1"/>
    <x v="2"/>
    <s v="C1113"/>
    <s v="Returning"/>
    <n v="1"/>
    <n v="32000"/>
    <n v="0"/>
    <n v="32000"/>
    <n v="32000"/>
    <n v="19000"/>
    <n v="19000"/>
    <n v="19000"/>
    <n v="13000"/>
    <s v="Yes"/>
    <s v="Fatima"/>
    <s v="January"/>
    <n v="1"/>
  </r>
  <r>
    <x v="45"/>
    <x v="36"/>
    <s v="KN-01"/>
    <x v="2"/>
    <x v="2"/>
    <x v="0"/>
    <x v="7"/>
    <s v="C1068"/>
    <s v="Returning"/>
    <n v="3"/>
    <n v="24000"/>
    <n v="0.05"/>
    <n v="68400"/>
    <n v="68400"/>
    <n v="15000"/>
    <n v="15000"/>
    <n v="45000"/>
    <n v="23400"/>
    <s v="No"/>
    <s v="Fatima"/>
    <s v="May"/>
    <n v="0"/>
  </r>
  <r>
    <x v="46"/>
    <x v="41"/>
    <s v="LG-01"/>
    <x v="1"/>
    <x v="2"/>
    <x v="0"/>
    <x v="0"/>
    <s v="C1179"/>
    <s v="Returning"/>
    <n v="4"/>
    <n v="58000"/>
    <n v="0"/>
    <n v="232000"/>
    <n v="232000"/>
    <n v="39000"/>
    <n v="39000"/>
    <n v="156000"/>
    <n v="76000"/>
    <s v="No"/>
    <s v="Aisha"/>
    <s v="April"/>
    <n v="0"/>
  </r>
  <r>
    <x v="47"/>
    <x v="42"/>
    <s v="KN-01"/>
    <x v="2"/>
    <x v="2"/>
    <x v="1"/>
    <x v="3"/>
    <s v="C1135"/>
    <s v="New"/>
    <n v="2"/>
    <n v="26000"/>
    <n v="0.05"/>
    <n v="49400"/>
    <n v="49400"/>
    <n v="15000"/>
    <n v="15000"/>
    <n v="30000"/>
    <n v="19400"/>
    <s v="No"/>
    <s v="Grace"/>
    <s v="January"/>
    <n v="0"/>
  </r>
  <r>
    <x v="48"/>
    <x v="3"/>
    <s v="IB-01"/>
    <x v="3"/>
    <x v="2"/>
    <x v="2"/>
    <x v="4"/>
    <s v="C1094"/>
    <s v="New"/>
    <n v="5"/>
    <n v="6500"/>
    <n v="0.05"/>
    <n v="30875"/>
    <n v="30875"/>
    <n v="2200"/>
    <n v="2200"/>
    <n v="11000"/>
    <n v="19875"/>
    <s v="No"/>
    <s v="Aisha"/>
    <s v="June"/>
    <n v="0"/>
  </r>
  <r>
    <x v="49"/>
    <x v="43"/>
    <s v="KN-01"/>
    <x v="2"/>
    <x v="2"/>
    <x v="2"/>
    <x v="6"/>
    <s v="C1080"/>
    <s v="Returning"/>
    <n v="3"/>
    <n v="9000"/>
    <n v="0"/>
    <n v="27000"/>
    <n v="27000"/>
    <n v="3500"/>
    <n v="3500"/>
    <n v="10500"/>
    <n v="16500"/>
    <s v="No"/>
    <s v="Chinedu"/>
    <s v="February"/>
    <n v="0"/>
  </r>
  <r>
    <x v="50"/>
    <x v="37"/>
    <s v="AB-02"/>
    <x v="0"/>
    <x v="1"/>
    <x v="0"/>
    <x v="5"/>
    <s v="C1111"/>
    <s v="New"/>
    <n v="2"/>
    <n v="42000"/>
    <n v="0.1"/>
    <n v="75600"/>
    <n v="75600"/>
    <n v="0"/>
    <n v="28000"/>
    <n v="56000"/>
    <n v="19600"/>
    <s v="No"/>
    <s v="Chinedu"/>
    <s v="January"/>
    <n v="0"/>
  </r>
  <r>
    <x v="51"/>
    <x v="20"/>
    <s v="PH-01"/>
    <x v="4"/>
    <x v="0"/>
    <x v="1"/>
    <x v="1"/>
    <s v="C1005"/>
    <s v="Returning"/>
    <n v="4"/>
    <n v="165000"/>
    <n v="0"/>
    <n v="660000"/>
    <n v="660000"/>
    <n v="112000"/>
    <n v="112000"/>
    <n v="448000"/>
    <n v="212000"/>
    <s v="No"/>
    <s v="Chinedu"/>
    <s v="January"/>
    <n v="0"/>
  </r>
  <r>
    <x v="52"/>
    <x v="44"/>
    <s v="KN-01"/>
    <x v="2"/>
    <x v="2"/>
    <x v="2"/>
    <x v="4"/>
    <s v="C1193"/>
    <s v="Returning"/>
    <n v="4"/>
    <n v="6500"/>
    <n v="0"/>
    <n v="26000"/>
    <n v="26000"/>
    <n v="2200"/>
    <n v="2200"/>
    <n v="8800"/>
    <n v="17200"/>
    <s v="No"/>
    <s v="Ibrahim"/>
    <s v="June"/>
    <n v="0"/>
  </r>
  <r>
    <x v="53"/>
    <x v="45"/>
    <s v="AB-01"/>
    <x v="0"/>
    <x v="2"/>
    <x v="2"/>
    <x v="6"/>
    <s v="C1030"/>
    <s v="Returning"/>
    <n v="1"/>
    <n v="9000"/>
    <n v="0.1"/>
    <n v="8100"/>
    <n v="8100"/>
    <n v="3500"/>
    <n v="3500"/>
    <n v="3500"/>
    <n v="4600"/>
    <s v="No"/>
    <s v="Aisha"/>
    <s v="April"/>
    <n v="0"/>
  </r>
  <r>
    <x v="54"/>
    <x v="46"/>
    <s v="KN-01"/>
    <x v="2"/>
    <x v="2"/>
    <x v="1"/>
    <x v="3"/>
    <s v="C1019"/>
    <s v="New"/>
    <n v="2"/>
    <n v="26000"/>
    <n v="0.15"/>
    <n v="44200"/>
    <n v="44200"/>
    <n v="15000"/>
    <n v="15000"/>
    <n v="30000"/>
    <n v="14200"/>
    <s v="No"/>
    <s v="Bola"/>
    <s v="June"/>
    <n v="0"/>
  </r>
  <r>
    <x v="55"/>
    <x v="47"/>
    <s v="KN-01"/>
    <x v="2"/>
    <x v="2"/>
    <x v="2"/>
    <x v="6"/>
    <s v="C1187"/>
    <s v="New"/>
    <n v="1"/>
    <n v="9000"/>
    <n v="0.05"/>
    <n v="6840"/>
    <n v="8550"/>
    <n v="3500"/>
    <n v="3500"/>
    <n v="3500"/>
    <n v="5050"/>
    <s v="No"/>
    <s v="Bola"/>
    <s v="June"/>
    <n v="0"/>
  </r>
  <r>
    <x v="56"/>
    <x v="48"/>
    <s v="IB-01"/>
    <x v="3"/>
    <x v="1"/>
    <x v="1"/>
    <x v="3"/>
    <s v="C1190"/>
    <s v="New"/>
    <n v="1"/>
    <n v="26000"/>
    <n v="0.15"/>
    <n v="22100"/>
    <n v="22100"/>
    <n v="15000"/>
    <n v="15000"/>
    <n v="15000"/>
    <n v="7100"/>
    <s v="No"/>
    <s v="Fatima"/>
    <s v="June"/>
    <n v="0"/>
  </r>
  <r>
    <x v="57"/>
    <x v="45"/>
    <s v="KN-01"/>
    <x v="2"/>
    <x v="2"/>
    <x v="2"/>
    <x v="8"/>
    <s v="C1069"/>
    <s v="Returning"/>
    <n v="2"/>
    <n v="28000"/>
    <n v="0"/>
    <n v="56000"/>
    <n v="56000"/>
    <n v="16000"/>
    <n v="16000"/>
    <n v="32000"/>
    <n v="24000"/>
    <s v="No"/>
    <s v="Aisha"/>
    <s v="April"/>
    <n v="0"/>
  </r>
  <r>
    <x v="58"/>
    <x v="42"/>
    <s v="LG-02"/>
    <x v="1"/>
    <x v="1"/>
    <x v="0"/>
    <x v="5"/>
    <s v="C1074"/>
    <s v="Returning"/>
    <n v="2"/>
    <n v="42000"/>
    <n v="0.1"/>
    <n v="75600"/>
    <n v="75600"/>
    <n v="28000"/>
    <n v="28000"/>
    <n v="56000"/>
    <n v="19600"/>
    <s v="No"/>
    <s v="Aisha"/>
    <s v="January"/>
    <n v="0"/>
  </r>
  <r>
    <x v="59"/>
    <x v="49"/>
    <s v="IB-01"/>
    <x v="3"/>
    <x v="1"/>
    <x v="1"/>
    <x v="2"/>
    <s v="C1156"/>
    <s v="Returning"/>
    <n v="1"/>
    <n v="32000"/>
    <n v="0.1"/>
    <n v="28800"/>
    <n v="28800"/>
    <n v="19000"/>
    <n v="19000"/>
    <n v="19000"/>
    <n v="9800"/>
    <s v="No"/>
    <s v="Bola"/>
    <s v="January"/>
    <n v="0"/>
  </r>
  <r>
    <x v="60"/>
    <x v="50"/>
    <s v="LG-02"/>
    <x v="1"/>
    <x v="2"/>
    <x v="1"/>
    <x v="2"/>
    <s v="C1039"/>
    <s v="Returning"/>
    <n v="1"/>
    <n v="32000"/>
    <n v="0.15"/>
    <n v="27200"/>
    <n v="27200"/>
    <n v="19000"/>
    <n v="19000"/>
    <n v="19000"/>
    <n v="8200"/>
    <s v="No"/>
    <s v="Aisha"/>
    <s v="August"/>
    <n v="0"/>
  </r>
  <r>
    <x v="61"/>
    <x v="51"/>
    <s v="PH-01"/>
    <x v="4"/>
    <x v="1"/>
    <x v="1"/>
    <x v="1"/>
    <s v="C1045"/>
    <s v="New"/>
    <n v="3"/>
    <n v="165000"/>
    <n v="0"/>
    <n v="495000"/>
    <n v="495000"/>
    <n v="112000"/>
    <n v="112000"/>
    <n v="336000"/>
    <n v="159000"/>
    <s v="No"/>
    <s v="Aisha"/>
    <s v="May"/>
    <n v="0"/>
  </r>
  <r>
    <x v="62"/>
    <x v="52"/>
    <s v="LG-02"/>
    <x v="1"/>
    <x v="2"/>
    <x v="0"/>
    <x v="0"/>
    <s v="C1164"/>
    <s v="New"/>
    <n v="1"/>
    <n v="58000"/>
    <n v="0"/>
    <n v="58000"/>
    <n v="58000"/>
    <n v="39000"/>
    <n v="39000"/>
    <n v="39000"/>
    <n v="19000"/>
    <s v="No"/>
    <s v="Fatima"/>
    <s v="April"/>
    <n v="0"/>
  </r>
  <r>
    <x v="63"/>
    <x v="53"/>
    <s v="LG-01"/>
    <x v="1"/>
    <x v="0"/>
    <x v="0"/>
    <x v="7"/>
    <s v="C1179"/>
    <s v="New"/>
    <n v="1"/>
    <n v="24000"/>
    <n v="0.05"/>
    <n v="22800"/>
    <n v="22800"/>
    <n v="15000"/>
    <n v="15000"/>
    <n v="15000"/>
    <n v="7800"/>
    <s v="No"/>
    <s v="Kemi"/>
    <s v="July"/>
    <n v="0"/>
  </r>
  <r>
    <x v="64"/>
    <x v="4"/>
    <s v="PH-01"/>
    <x v="4"/>
    <x v="2"/>
    <x v="1"/>
    <x v="1"/>
    <s v="C1055"/>
    <s v="Returning"/>
    <n v="4"/>
    <n v="165000"/>
    <n v="0.1"/>
    <n v="594000"/>
    <n v="594000"/>
    <n v="112000"/>
    <n v="112000"/>
    <n v="448000"/>
    <n v="146000"/>
    <s v="No"/>
    <s v="David"/>
    <s v="May"/>
    <n v="0"/>
  </r>
  <r>
    <x v="65"/>
    <x v="54"/>
    <s v="IB-01"/>
    <x v="3"/>
    <x v="1"/>
    <x v="0"/>
    <x v="5"/>
    <s v="C1106"/>
    <s v="Returning"/>
    <n v="3"/>
    <n v="42000"/>
    <n v="0.1"/>
    <n v="113400"/>
    <n v="113400"/>
    <n v="28000"/>
    <n v="28000"/>
    <n v="84000"/>
    <n v="29400"/>
    <s v="No"/>
    <s v="Kemi"/>
    <s v="March"/>
    <n v="0"/>
  </r>
  <r>
    <x v="66"/>
    <x v="55"/>
    <s v="AB-02"/>
    <x v="0"/>
    <x v="0"/>
    <x v="2"/>
    <x v="8"/>
    <s v="C1157"/>
    <s v="New"/>
    <n v="3"/>
    <n v="28000"/>
    <n v="0.15"/>
    <n v="57120"/>
    <n v="71400"/>
    <n v="16000"/>
    <n v="16000"/>
    <n v="48000"/>
    <n v="23400"/>
    <s v="No"/>
    <s v="David"/>
    <s v="July"/>
    <n v="0"/>
  </r>
  <r>
    <x v="67"/>
    <x v="56"/>
    <s v="AB-02"/>
    <x v="0"/>
    <x v="1"/>
    <x v="2"/>
    <x v="8"/>
    <s v="C1000"/>
    <s v="New"/>
    <n v="4"/>
    <n v="28000"/>
    <n v="0.05"/>
    <n v="106400"/>
    <n v="106400"/>
    <n v="16000"/>
    <n v="16000"/>
    <n v="64000"/>
    <n v="42400"/>
    <s v="No"/>
    <s v="David"/>
    <s v="March"/>
    <n v="0"/>
  </r>
  <r>
    <x v="68"/>
    <x v="57"/>
    <s v="PH-01"/>
    <x v="4"/>
    <x v="2"/>
    <x v="1"/>
    <x v="1"/>
    <s v="C1032"/>
    <s v="New"/>
    <n v="3"/>
    <n v="165000"/>
    <n v="0.05"/>
    <n v="470250"/>
    <n v="470250"/>
    <n v="112000"/>
    <n v="112000"/>
    <n v="336000"/>
    <n v="134250"/>
    <s v="No"/>
    <s v="Bola"/>
    <s v="March"/>
    <n v="0"/>
  </r>
  <r>
    <x v="69"/>
    <x v="58"/>
    <s v="PH-01"/>
    <x v="4"/>
    <x v="2"/>
    <x v="0"/>
    <x v="0"/>
    <s v="C1024"/>
    <s v="New"/>
    <n v="3"/>
    <n v="58000"/>
    <n v="0"/>
    <n v="174000"/>
    <n v="174000"/>
    <n v="0"/>
    <n v="39000"/>
    <n v="117000"/>
    <n v="57000"/>
    <s v="No"/>
    <s v="Ibrahim"/>
    <s v="May"/>
    <n v="0"/>
  </r>
  <r>
    <x v="70"/>
    <x v="8"/>
    <s v="LG-02"/>
    <x v="1"/>
    <x v="1"/>
    <x v="1"/>
    <x v="3"/>
    <s v="C1018"/>
    <s v="Returning"/>
    <n v="4"/>
    <n v="26000"/>
    <n v="0.1"/>
    <n v="93600"/>
    <n v="93600"/>
    <n v="15000"/>
    <n v="15000"/>
    <n v="60000"/>
    <n v="33600"/>
    <s v="No"/>
    <s v="Chinedu"/>
    <s v="January"/>
    <n v="0"/>
  </r>
  <r>
    <x v="71"/>
    <x v="3"/>
    <s v="IB-01"/>
    <x v="3"/>
    <x v="2"/>
    <x v="0"/>
    <x v="0"/>
    <s v="C1058"/>
    <s v="New"/>
    <n v="3"/>
    <n v="58000"/>
    <n v="0.1"/>
    <n v="125280"/>
    <n v="156600"/>
    <n v="39000"/>
    <n v="39000"/>
    <n v="117000"/>
    <n v="39600"/>
    <s v="No"/>
    <s v="Grace"/>
    <s v="June"/>
    <n v="0"/>
  </r>
  <r>
    <x v="72"/>
    <x v="59"/>
    <s v="AB-01"/>
    <x v="0"/>
    <x v="1"/>
    <x v="1"/>
    <x v="3"/>
    <s v="C1086"/>
    <s v="Returning"/>
    <n v="1"/>
    <n v="26000"/>
    <n v="0.1"/>
    <n v="23400"/>
    <n v="23400"/>
    <n v="15000"/>
    <n v="15000"/>
    <n v="15000"/>
    <n v="8400"/>
    <s v="Yes"/>
    <s v="Bola"/>
    <s v="March"/>
    <n v="1"/>
  </r>
  <r>
    <x v="73"/>
    <x v="41"/>
    <s v="IB-01"/>
    <x v="3"/>
    <x v="2"/>
    <x v="2"/>
    <x v="4"/>
    <s v="C1043"/>
    <s v="New"/>
    <n v="4"/>
    <n v="6500"/>
    <n v="0.05"/>
    <n v="24700"/>
    <n v="24700"/>
    <n v="2200"/>
    <n v="2200"/>
    <n v="8800"/>
    <n v="15900"/>
    <s v="No"/>
    <s v="Chinedu"/>
    <s v="April"/>
    <n v="0"/>
  </r>
  <r>
    <x v="74"/>
    <x v="60"/>
    <s v="LG-01"/>
    <x v="1"/>
    <x v="2"/>
    <x v="1"/>
    <x v="1"/>
    <s v="C1188"/>
    <s v="Returning"/>
    <n v="1"/>
    <n v="165000"/>
    <n v="0.05"/>
    <n v="156750"/>
    <n v="156750"/>
    <n v="112000"/>
    <n v="112000"/>
    <n v="112000"/>
    <n v="44750"/>
    <s v="No"/>
    <s v="Fatima"/>
    <s v="August"/>
    <n v="0"/>
  </r>
  <r>
    <x v="75"/>
    <x v="61"/>
    <s v="LG-01"/>
    <x v="1"/>
    <x v="2"/>
    <x v="1"/>
    <x v="3"/>
    <s v="C1104"/>
    <s v="New"/>
    <n v="4"/>
    <n v="26000"/>
    <n v="0"/>
    <n v="104000"/>
    <n v="104000"/>
    <n v="15000"/>
    <n v="15000"/>
    <n v="60000"/>
    <n v="44000"/>
    <s v="No"/>
    <s v="Aisha"/>
    <s v="February"/>
    <n v="0"/>
  </r>
  <r>
    <x v="76"/>
    <x v="26"/>
    <s v="LG-02"/>
    <x v="1"/>
    <x v="2"/>
    <x v="2"/>
    <x v="6"/>
    <s v="C1192"/>
    <s v="New"/>
    <n v="2"/>
    <n v="9000"/>
    <n v="0.15"/>
    <n v="15300"/>
    <n v="15300"/>
    <n v="3500"/>
    <n v="3500"/>
    <n v="7000"/>
    <n v="8300"/>
    <s v="No"/>
    <s v="Chinedu"/>
    <s v="May"/>
    <n v="0"/>
  </r>
  <r>
    <x v="77"/>
    <x v="28"/>
    <s v="LG-01"/>
    <x v="1"/>
    <x v="2"/>
    <x v="2"/>
    <x v="4"/>
    <s v="C1108"/>
    <s v="Returning"/>
    <n v="2"/>
    <n v="6500"/>
    <n v="0.1"/>
    <n v="11700"/>
    <n v="11700"/>
    <n v="2200"/>
    <n v="2200"/>
    <n v="4400"/>
    <n v="7300"/>
    <s v="No"/>
    <s v="Kemi"/>
    <s v="July"/>
    <n v="0"/>
  </r>
  <r>
    <x v="78"/>
    <x v="62"/>
    <s v="LG-02"/>
    <x v="1"/>
    <x v="2"/>
    <x v="0"/>
    <x v="0"/>
    <s v="C1159"/>
    <s v="Returning"/>
    <n v="2"/>
    <n v="58000"/>
    <n v="0.1"/>
    <n v="104400"/>
    <n v="104400"/>
    <n v="39000"/>
    <n v="39000"/>
    <n v="78000"/>
    <n v="26400"/>
    <s v="No"/>
    <s v="Aisha"/>
    <s v="February"/>
    <n v="0"/>
  </r>
  <r>
    <x v="79"/>
    <x v="63"/>
    <s v="IB-01"/>
    <x v="3"/>
    <x v="1"/>
    <x v="2"/>
    <x v="8"/>
    <s v="C1017"/>
    <s v="Returning"/>
    <n v="2"/>
    <n v="28000"/>
    <n v="0.1"/>
    <n v="50400"/>
    <n v="50400"/>
    <n v="16000"/>
    <n v="16000"/>
    <n v="32000"/>
    <n v="18400"/>
    <s v="No"/>
    <s v="Kemi"/>
    <s v="August"/>
    <n v="0"/>
  </r>
  <r>
    <x v="80"/>
    <x v="38"/>
    <s v="LG-02"/>
    <x v="1"/>
    <x v="1"/>
    <x v="1"/>
    <x v="2"/>
    <s v="C1143"/>
    <s v="New"/>
    <n v="2"/>
    <n v="32000"/>
    <n v="0"/>
    <n v="64000"/>
    <n v="64000"/>
    <n v="19000"/>
    <n v="19000"/>
    <n v="38000"/>
    <n v="26000"/>
    <s v="No"/>
    <s v="Aisha"/>
    <s v="May"/>
    <n v="0"/>
  </r>
  <r>
    <x v="81"/>
    <x v="64"/>
    <s v="AB-01"/>
    <x v="0"/>
    <x v="1"/>
    <x v="1"/>
    <x v="1"/>
    <s v="C1089"/>
    <s v="New"/>
    <n v="2"/>
    <n v="165000"/>
    <n v="0.1"/>
    <n v="297000"/>
    <n v="297000"/>
    <n v="0"/>
    <n v="112000"/>
    <n v="224000"/>
    <n v="73000"/>
    <s v="No"/>
    <s v="Fatima"/>
    <s v="May"/>
    <n v="0"/>
  </r>
  <r>
    <x v="82"/>
    <x v="2"/>
    <s v="LG-02"/>
    <x v="1"/>
    <x v="2"/>
    <x v="1"/>
    <x v="1"/>
    <s v="C1133"/>
    <s v="Returning"/>
    <n v="3"/>
    <n v="165000"/>
    <n v="0.1"/>
    <n v="445500"/>
    <n v="445500"/>
    <n v="112000"/>
    <n v="112000"/>
    <n v="336000"/>
    <n v="109500"/>
    <s v="Yes"/>
    <s v="Fatima"/>
    <s v="February"/>
    <n v="1"/>
  </r>
  <r>
    <x v="83"/>
    <x v="65"/>
    <s v="AB-01"/>
    <x v="0"/>
    <x v="2"/>
    <x v="1"/>
    <x v="3"/>
    <s v="C1097"/>
    <s v="New"/>
    <n v="4"/>
    <n v="26000"/>
    <n v="0"/>
    <n v="104000"/>
    <n v="104000"/>
    <n v="15000"/>
    <n v="15000"/>
    <n v="60000"/>
    <n v="44000"/>
    <s v="Yes"/>
    <s v="Kemi"/>
    <s v="July"/>
    <n v="1"/>
  </r>
  <r>
    <x v="84"/>
    <x v="66"/>
    <s v="PH-01"/>
    <x v="4"/>
    <x v="0"/>
    <x v="1"/>
    <x v="3"/>
    <s v="C1020"/>
    <s v="Returning"/>
    <n v="3"/>
    <n v="26000"/>
    <n v="0"/>
    <n v="78000"/>
    <n v="78000"/>
    <n v="15000"/>
    <n v="15000"/>
    <n v="45000"/>
    <n v="33000"/>
    <s v="No"/>
    <s v="Aisha"/>
    <s v="July"/>
    <n v="0"/>
  </r>
  <r>
    <x v="85"/>
    <x v="67"/>
    <s v="KN-01"/>
    <x v="2"/>
    <x v="1"/>
    <x v="1"/>
    <x v="2"/>
    <s v="C1177"/>
    <s v="Returning"/>
    <n v="4"/>
    <n v="32000"/>
    <n v="0.1"/>
    <n v="115200"/>
    <n v="115200"/>
    <n v="19000"/>
    <n v="19000"/>
    <n v="76000"/>
    <n v="39200"/>
    <s v="No"/>
    <s v="Fatima"/>
    <s v="February"/>
    <n v="0"/>
  </r>
  <r>
    <x v="86"/>
    <x v="16"/>
    <s v="AB-01"/>
    <x v="0"/>
    <x v="0"/>
    <x v="2"/>
    <x v="8"/>
    <s v="C1150"/>
    <s v="Returning"/>
    <n v="3"/>
    <n v="28000"/>
    <n v="0.15"/>
    <n v="71400"/>
    <n v="71400"/>
    <n v="16000"/>
    <n v="16000"/>
    <n v="48000"/>
    <n v="23400"/>
    <s v="No"/>
    <s v="Fatima"/>
    <s v="January"/>
    <n v="0"/>
  </r>
  <r>
    <x v="87"/>
    <x v="47"/>
    <s v="KN-01"/>
    <x v="2"/>
    <x v="0"/>
    <x v="1"/>
    <x v="2"/>
    <s v="C1128"/>
    <s v="Returning"/>
    <n v="5"/>
    <n v="32000"/>
    <n v="0.05"/>
    <n v="152000"/>
    <n v="152000"/>
    <n v="19000"/>
    <n v="19000"/>
    <n v="95000"/>
    <n v="57000"/>
    <s v="Yes"/>
    <s v="Chinedu"/>
    <s v="June"/>
    <n v="1"/>
  </r>
  <r>
    <x v="88"/>
    <x v="68"/>
    <s v="KN-01"/>
    <x v="2"/>
    <x v="2"/>
    <x v="0"/>
    <x v="5"/>
    <s v="C1089"/>
    <s v="Returning"/>
    <n v="1"/>
    <n v="42000"/>
    <n v="0.05"/>
    <n v="39900"/>
    <n v="39900"/>
    <n v="28000"/>
    <n v="28000"/>
    <n v="28000"/>
    <n v="11900"/>
    <s v="No"/>
    <s v="Bola"/>
    <s v="January"/>
    <n v="0"/>
  </r>
  <r>
    <x v="89"/>
    <x v="69"/>
    <s v="KN-01"/>
    <x v="2"/>
    <x v="1"/>
    <x v="0"/>
    <x v="5"/>
    <s v="C1169"/>
    <s v="Returning"/>
    <n v="4"/>
    <n v="42000"/>
    <n v="0.05"/>
    <n v="159600"/>
    <n v="159600"/>
    <n v="28000"/>
    <n v="28000"/>
    <n v="112000"/>
    <n v="47600"/>
    <s v="No"/>
    <s v="Kemi"/>
    <s v="March"/>
    <n v="0"/>
  </r>
  <r>
    <x v="90"/>
    <x v="70"/>
    <s v="PH-01"/>
    <x v="4"/>
    <x v="1"/>
    <x v="2"/>
    <x v="6"/>
    <s v="C1166"/>
    <s v="New"/>
    <n v="2"/>
    <n v="9000"/>
    <n v="0.1"/>
    <n v="16200"/>
    <n v="16200"/>
    <n v="3500"/>
    <n v="3500"/>
    <n v="7000"/>
    <n v="9200"/>
    <s v="No"/>
    <s v="Grace"/>
    <s v="June"/>
    <n v="0"/>
  </r>
  <r>
    <x v="91"/>
    <x v="12"/>
    <s v="PH-01"/>
    <x v="4"/>
    <x v="2"/>
    <x v="0"/>
    <x v="5"/>
    <s v="C1108"/>
    <s v="Returning"/>
    <n v="4"/>
    <n v="42000"/>
    <n v="0.1"/>
    <n v="166320"/>
    <n v="151200"/>
    <n v="28000"/>
    <n v="28000"/>
    <n v="112000"/>
    <n v="39200"/>
    <s v="No"/>
    <s v="Bola"/>
    <s v="May"/>
    <n v="0"/>
  </r>
  <r>
    <x v="92"/>
    <x v="71"/>
    <s v="AB-01"/>
    <x v="0"/>
    <x v="2"/>
    <x v="2"/>
    <x v="6"/>
    <s v="C1031"/>
    <s v="Returning"/>
    <n v="5"/>
    <n v="9000"/>
    <n v="0.2"/>
    <n v="36000"/>
    <n v="36000"/>
    <n v="0"/>
    <n v="3500"/>
    <n v="17500"/>
    <n v="18500"/>
    <s v="No"/>
    <s v="Fatima"/>
    <s v="April"/>
    <n v="0"/>
  </r>
  <r>
    <x v="93"/>
    <x v="72"/>
    <s v="LG-02"/>
    <x v="1"/>
    <x v="2"/>
    <x v="0"/>
    <x v="5"/>
    <s v="C1036"/>
    <s v="Returning"/>
    <n v="4"/>
    <n v="42000"/>
    <n v="0.05"/>
    <n v="127680"/>
    <n v="159600"/>
    <n v="28000"/>
    <n v="28000"/>
    <n v="112000"/>
    <n v="47600"/>
    <s v="No"/>
    <s v="Fatima"/>
    <s v="July"/>
    <n v="0"/>
  </r>
  <r>
    <x v="94"/>
    <x v="18"/>
    <s v="LG-01"/>
    <x v="1"/>
    <x v="1"/>
    <x v="2"/>
    <x v="6"/>
    <s v="C1092"/>
    <s v="New"/>
    <n v="1"/>
    <n v="9000"/>
    <n v="0.05"/>
    <n v="8550"/>
    <n v="8550"/>
    <n v="3500"/>
    <n v="3500"/>
    <n v="3500"/>
    <n v="5050"/>
    <s v="No"/>
    <s v="Aisha"/>
    <s v="May"/>
    <n v="0"/>
  </r>
  <r>
    <x v="95"/>
    <x v="73"/>
    <s v="AB-02"/>
    <x v="0"/>
    <x v="1"/>
    <x v="1"/>
    <x v="3"/>
    <s v="C1038"/>
    <s v="Returning"/>
    <n v="3"/>
    <n v="26000"/>
    <n v="0"/>
    <n v="78000"/>
    <n v="78000"/>
    <n v="0"/>
    <n v="15000"/>
    <n v="45000"/>
    <n v="33000"/>
    <s v="No"/>
    <s v="David"/>
    <s v="January"/>
    <n v="0"/>
  </r>
  <r>
    <x v="96"/>
    <x v="74"/>
    <s v="PH-01"/>
    <x v="4"/>
    <x v="2"/>
    <x v="1"/>
    <x v="3"/>
    <s v="C1134"/>
    <s v="Returning"/>
    <n v="4"/>
    <n v="26000"/>
    <n v="0"/>
    <n v="104000"/>
    <n v="104000"/>
    <n v="15000"/>
    <n v="15000"/>
    <n v="60000"/>
    <n v="44000"/>
    <s v="No"/>
    <s v="Bola"/>
    <s v="April"/>
    <n v="0"/>
  </r>
  <r>
    <x v="97"/>
    <x v="75"/>
    <s v="LG-01"/>
    <x v="1"/>
    <x v="1"/>
    <x v="0"/>
    <x v="5"/>
    <s v="C1071"/>
    <s v="New"/>
    <n v="1"/>
    <n v="42000"/>
    <n v="0.05"/>
    <n v="39900"/>
    <n v="39900"/>
    <n v="28000"/>
    <n v="28000"/>
    <n v="28000"/>
    <n v="11900"/>
    <s v="No"/>
    <s v="Fatima"/>
    <s v="February"/>
    <n v="0"/>
  </r>
  <r>
    <x v="98"/>
    <x v="76"/>
    <s v="LG-01"/>
    <x v="1"/>
    <x v="2"/>
    <x v="1"/>
    <x v="2"/>
    <s v="C1111"/>
    <s v="New"/>
    <n v="2"/>
    <n v="32000"/>
    <n v="0"/>
    <n v="64000"/>
    <n v="64000"/>
    <n v="19000"/>
    <n v="19000"/>
    <n v="38000"/>
    <n v="26000"/>
    <s v="No"/>
    <s v="Fatima"/>
    <s v="March"/>
    <n v="0"/>
  </r>
  <r>
    <x v="99"/>
    <x v="59"/>
    <s v="LG-02"/>
    <x v="1"/>
    <x v="2"/>
    <x v="1"/>
    <x v="2"/>
    <s v="C1048"/>
    <s v="New"/>
    <n v="3"/>
    <n v="32000"/>
    <n v="0.05"/>
    <n v="91200"/>
    <n v="91200"/>
    <n v="19000"/>
    <n v="19000"/>
    <n v="57000"/>
    <n v="34200"/>
    <s v="No"/>
    <s v="Ibrahim"/>
    <s v="March"/>
    <n v="0"/>
  </r>
  <r>
    <x v="100"/>
    <x v="77"/>
    <s v="AB-02"/>
    <x v="0"/>
    <x v="2"/>
    <x v="2"/>
    <x v="6"/>
    <s v="C1052"/>
    <s v="Returning"/>
    <n v="5"/>
    <n v="9000"/>
    <n v="0.05"/>
    <n v="42750"/>
    <n v="42750"/>
    <n v="3500"/>
    <n v="3500"/>
    <n v="17500"/>
    <n v="25250"/>
    <s v="No"/>
    <s v="Chinedu"/>
    <s v="July"/>
    <n v="0"/>
  </r>
  <r>
    <x v="101"/>
    <x v="78"/>
    <s v="LG-02"/>
    <x v="1"/>
    <x v="0"/>
    <x v="0"/>
    <x v="7"/>
    <s v="C1014"/>
    <s v="Returning"/>
    <n v="2"/>
    <n v="24000"/>
    <n v="0"/>
    <n v="48000"/>
    <n v="48000"/>
    <n v="15000"/>
    <n v="15000"/>
    <n v="30000"/>
    <n v="18000"/>
    <s v="No"/>
    <s v="Ibrahim"/>
    <s v="June"/>
    <n v="0"/>
  </r>
  <r>
    <x v="102"/>
    <x v="79"/>
    <s v="AB-01"/>
    <x v="0"/>
    <x v="1"/>
    <x v="1"/>
    <x v="1"/>
    <s v="C1110"/>
    <s v="New"/>
    <n v="1"/>
    <n v="165000"/>
    <n v="0"/>
    <n v="165000"/>
    <n v="165000"/>
    <n v="112000"/>
    <n v="112000"/>
    <n v="112000"/>
    <n v="53000"/>
    <s v="Yes"/>
    <s v="Bola"/>
    <s v="June"/>
    <n v="1"/>
  </r>
  <r>
    <x v="103"/>
    <x v="80"/>
    <s v="LG-01"/>
    <x v="1"/>
    <x v="2"/>
    <x v="1"/>
    <x v="1"/>
    <s v="C1167"/>
    <s v="New"/>
    <n v="3"/>
    <n v="165000"/>
    <n v="0"/>
    <n v="495000"/>
    <n v="495000"/>
    <n v="112000"/>
    <n v="112000"/>
    <n v="336000"/>
    <n v="159000"/>
    <s v="No"/>
    <s v="Grace"/>
    <s v="February"/>
    <n v="0"/>
  </r>
  <r>
    <x v="104"/>
    <x v="81"/>
    <s v="IB-01"/>
    <x v="3"/>
    <x v="0"/>
    <x v="0"/>
    <x v="0"/>
    <s v="C1002"/>
    <s v="New"/>
    <n v="2"/>
    <n v="58000"/>
    <n v="0"/>
    <n v="116000"/>
    <n v="116000"/>
    <n v="39000"/>
    <n v="39000"/>
    <n v="78000"/>
    <n v="38000"/>
    <s v="No"/>
    <s v="David"/>
    <s v="June"/>
    <n v="0"/>
  </r>
  <r>
    <x v="105"/>
    <x v="82"/>
    <s v="IB-01"/>
    <x v="3"/>
    <x v="2"/>
    <x v="0"/>
    <x v="5"/>
    <s v="C1170"/>
    <s v="Returning"/>
    <n v="5"/>
    <n v="42000"/>
    <n v="0.05"/>
    <n v="199500"/>
    <n v="199500"/>
    <n v="28000"/>
    <n v="28000"/>
    <n v="140000"/>
    <n v="59500"/>
    <s v="No"/>
    <s v="Kemi"/>
    <s v="March"/>
    <n v="0"/>
  </r>
  <r>
    <x v="106"/>
    <x v="73"/>
    <s v="PH-01"/>
    <x v="4"/>
    <x v="2"/>
    <x v="0"/>
    <x v="0"/>
    <s v="C1082"/>
    <s v="Returning"/>
    <n v="1"/>
    <n v="58000"/>
    <n v="0.1"/>
    <n v="52200"/>
    <n v="52200"/>
    <n v="39000"/>
    <n v="39000"/>
    <n v="39000"/>
    <n v="13200"/>
    <s v="No"/>
    <s v="Aisha"/>
    <s v="January"/>
    <n v="0"/>
  </r>
  <r>
    <x v="107"/>
    <x v="83"/>
    <s v="AB-02"/>
    <x v="0"/>
    <x v="2"/>
    <x v="2"/>
    <x v="4"/>
    <s v="C1021"/>
    <s v="Returning"/>
    <n v="1"/>
    <n v="6500"/>
    <n v="0.15"/>
    <n v="5525"/>
    <n v="5525"/>
    <n v="2200"/>
    <n v="2200"/>
    <n v="2200"/>
    <n v="3325"/>
    <s v="No"/>
    <s v="David"/>
    <s v="May"/>
    <n v="0"/>
  </r>
  <r>
    <x v="108"/>
    <x v="84"/>
    <s v="AB-02"/>
    <x v="0"/>
    <x v="0"/>
    <x v="2"/>
    <x v="6"/>
    <s v="C1078"/>
    <s v="Returning"/>
    <n v="2"/>
    <n v="9000"/>
    <n v="0.15"/>
    <n v="15300"/>
    <n v="15300"/>
    <n v="3500"/>
    <n v="3500"/>
    <n v="7000"/>
    <n v="8300"/>
    <s v="No"/>
    <s v="Fatima"/>
    <s v="July"/>
    <n v="0"/>
  </r>
  <r>
    <x v="109"/>
    <x v="85"/>
    <s v="LG-02"/>
    <x v="1"/>
    <x v="2"/>
    <x v="0"/>
    <x v="5"/>
    <s v="C1017"/>
    <s v="New"/>
    <n v="1"/>
    <n v="42000"/>
    <n v="0"/>
    <n v="42000"/>
    <n v="42000"/>
    <n v="28000"/>
    <n v="28000"/>
    <n v="28000"/>
    <n v="14000"/>
    <s v="No"/>
    <s v="David"/>
    <s v="July"/>
    <n v="0"/>
  </r>
  <r>
    <x v="110"/>
    <x v="84"/>
    <s v="LG-02"/>
    <x v="1"/>
    <x v="2"/>
    <x v="2"/>
    <x v="8"/>
    <s v="C1145"/>
    <s v="Returning"/>
    <n v="1"/>
    <n v="28000"/>
    <n v="0.05"/>
    <n v="26600"/>
    <n v="26600"/>
    <n v="16000"/>
    <n v="16000"/>
    <n v="16000"/>
    <n v="10600"/>
    <s v="No"/>
    <s v="Fatima"/>
    <s v="July"/>
    <n v="0"/>
  </r>
  <r>
    <x v="111"/>
    <x v="86"/>
    <s v="KN-01"/>
    <x v="2"/>
    <x v="2"/>
    <x v="1"/>
    <x v="3"/>
    <s v="C1091"/>
    <s v="New"/>
    <n v="2"/>
    <n v="26000"/>
    <n v="0.1"/>
    <n v="46800"/>
    <n v="46800"/>
    <n v="15000"/>
    <n v="15000"/>
    <n v="30000"/>
    <n v="16800"/>
    <s v="No"/>
    <s v="Chinedu"/>
    <s v="January"/>
    <n v="0"/>
  </r>
  <r>
    <x v="112"/>
    <x v="87"/>
    <s v="AB-02"/>
    <x v="0"/>
    <x v="2"/>
    <x v="0"/>
    <x v="0"/>
    <s v="C1045"/>
    <s v="New"/>
    <n v="3"/>
    <n v="58000"/>
    <n v="0.05"/>
    <n v="165300"/>
    <n v="165300"/>
    <n v="39000"/>
    <n v="39000"/>
    <n v="117000"/>
    <n v="48300"/>
    <s v="No"/>
    <s v="Kemi"/>
    <s v="February"/>
    <n v="0"/>
  </r>
  <r>
    <x v="113"/>
    <x v="88"/>
    <s v="AB-01"/>
    <x v="0"/>
    <x v="1"/>
    <x v="2"/>
    <x v="4"/>
    <s v="C1044"/>
    <s v="Returning"/>
    <n v="2"/>
    <n v="6500"/>
    <n v="0.25"/>
    <n v="9750"/>
    <n v="9750"/>
    <n v="2200"/>
    <n v="2200"/>
    <n v="4400"/>
    <n v="5350"/>
    <s v="No"/>
    <s v="Chinedu"/>
    <s v="June"/>
    <n v="0"/>
  </r>
  <r>
    <x v="114"/>
    <x v="89"/>
    <s v="LG-02"/>
    <x v="1"/>
    <x v="1"/>
    <x v="1"/>
    <x v="3"/>
    <s v="C1098"/>
    <s v="New"/>
    <n v="2"/>
    <n v="26000"/>
    <n v="0.1"/>
    <n v="46800"/>
    <n v="46800"/>
    <n v="15000"/>
    <n v="15000"/>
    <n v="30000"/>
    <n v="16800"/>
    <s v="No"/>
    <s v="Aisha"/>
    <s v="March"/>
    <n v="0"/>
  </r>
  <r>
    <x v="115"/>
    <x v="43"/>
    <s v="PH-01"/>
    <x v="4"/>
    <x v="2"/>
    <x v="2"/>
    <x v="8"/>
    <s v="C1190"/>
    <s v="Returning"/>
    <n v="5"/>
    <n v="28000"/>
    <n v="0"/>
    <n v="140000"/>
    <n v="140000"/>
    <n v="16000"/>
    <n v="16000"/>
    <n v="80000"/>
    <n v="60000"/>
    <s v="No"/>
    <s v="Kemi"/>
    <s v="February"/>
    <n v="0"/>
  </r>
  <r>
    <x v="116"/>
    <x v="74"/>
    <s v="LG-02"/>
    <x v="1"/>
    <x v="2"/>
    <x v="2"/>
    <x v="6"/>
    <s v="C1055"/>
    <s v="New"/>
    <n v="4"/>
    <n v="9000"/>
    <n v="0"/>
    <n v="36000"/>
    <n v="36000"/>
    <n v="3500"/>
    <n v="3500"/>
    <n v="14000"/>
    <n v="22000"/>
    <s v="No"/>
    <s v="Ibrahim"/>
    <s v="April"/>
    <n v="0"/>
  </r>
  <r>
    <x v="117"/>
    <x v="90"/>
    <s v="IB-01"/>
    <x v="3"/>
    <x v="0"/>
    <x v="1"/>
    <x v="3"/>
    <s v="C1048"/>
    <s v="New"/>
    <n v="3"/>
    <n v="26000"/>
    <n v="0"/>
    <n v="78000"/>
    <n v="78000"/>
    <n v="15000"/>
    <n v="15000"/>
    <n v="45000"/>
    <n v="33000"/>
    <s v="No"/>
    <s v="David"/>
    <s v="August"/>
    <n v="0"/>
  </r>
  <r>
    <x v="118"/>
    <x v="91"/>
    <s v="LG-02"/>
    <x v="1"/>
    <x v="0"/>
    <x v="2"/>
    <x v="6"/>
    <s v="C1059"/>
    <s v="Returning"/>
    <n v="4"/>
    <n v="9000"/>
    <n v="0"/>
    <n v="36000"/>
    <n v="36000"/>
    <n v="3500"/>
    <n v="3500"/>
    <n v="14000"/>
    <n v="22000"/>
    <s v="No"/>
    <s v="Fatima"/>
    <s v="June"/>
    <n v="0"/>
  </r>
  <r>
    <x v="119"/>
    <x v="86"/>
    <s v="LG-01"/>
    <x v="1"/>
    <x v="2"/>
    <x v="1"/>
    <x v="1"/>
    <s v="C1194"/>
    <s v="Returning"/>
    <n v="1"/>
    <n v="165000"/>
    <n v="0"/>
    <n v="165000"/>
    <n v="165000"/>
    <n v="112000"/>
    <n v="112000"/>
    <n v="112000"/>
    <n v="53000"/>
    <s v="Yes"/>
    <s v="David"/>
    <s v="January"/>
    <n v="1"/>
  </r>
  <r>
    <x v="120"/>
    <x v="9"/>
    <s v="IB-01"/>
    <x v="3"/>
    <x v="2"/>
    <x v="2"/>
    <x v="6"/>
    <s v="C1124"/>
    <s v="New"/>
    <n v="4"/>
    <n v="9000"/>
    <n v="0"/>
    <n v="32400"/>
    <n v="36000"/>
    <n v="3500"/>
    <n v="3500"/>
    <n v="14000"/>
    <n v="22000"/>
    <s v="No"/>
    <s v="Bola"/>
    <s v="August"/>
    <n v="0"/>
  </r>
  <r>
    <x v="121"/>
    <x v="65"/>
    <s v="PH-01"/>
    <x v="4"/>
    <x v="2"/>
    <x v="0"/>
    <x v="7"/>
    <s v="C1173"/>
    <s v="New"/>
    <n v="3"/>
    <n v="24000"/>
    <n v="0"/>
    <n v="72000"/>
    <n v="72000"/>
    <n v="15000"/>
    <n v="15000"/>
    <n v="45000"/>
    <n v="27000"/>
    <s v="No"/>
    <s v="Ibrahim"/>
    <s v="July"/>
    <n v="0"/>
  </r>
  <r>
    <x v="122"/>
    <x v="4"/>
    <s v="AB-01"/>
    <x v="0"/>
    <x v="2"/>
    <x v="1"/>
    <x v="2"/>
    <s v="C1020"/>
    <s v="Returning"/>
    <n v="4"/>
    <n v="32000"/>
    <n v="0.1"/>
    <n v="115200"/>
    <n v="115200"/>
    <n v="19000"/>
    <n v="19000"/>
    <n v="76000"/>
    <n v="39200"/>
    <s v="No"/>
    <s v="Fatima"/>
    <s v="May"/>
    <n v="0"/>
  </r>
  <r>
    <x v="123"/>
    <x v="66"/>
    <s v="KN-01"/>
    <x v="2"/>
    <x v="1"/>
    <x v="1"/>
    <x v="2"/>
    <s v="C1080"/>
    <s v="Returning"/>
    <n v="3"/>
    <n v="32000"/>
    <n v="0.15"/>
    <n v="81600"/>
    <n v="81600"/>
    <n v="19000"/>
    <n v="19000"/>
    <n v="57000"/>
    <n v="24600"/>
    <s v="No"/>
    <s v="David"/>
    <s v="July"/>
    <n v="0"/>
  </r>
  <r>
    <x v="124"/>
    <x v="92"/>
    <s v="PH-01"/>
    <x v="4"/>
    <x v="2"/>
    <x v="1"/>
    <x v="2"/>
    <s v="C1184"/>
    <s v="Returning"/>
    <n v="3"/>
    <n v="32000"/>
    <n v="0.15"/>
    <n v="81600"/>
    <n v="81600"/>
    <n v="19000"/>
    <n v="19000"/>
    <n v="57000"/>
    <n v="24600"/>
    <s v="No"/>
    <s v="Chinedu"/>
    <s v="February"/>
    <n v="0"/>
  </r>
  <r>
    <x v="125"/>
    <x v="93"/>
    <s v="AB-02"/>
    <x v="0"/>
    <x v="0"/>
    <x v="1"/>
    <x v="1"/>
    <s v="C1004"/>
    <s v="Returning"/>
    <n v="2"/>
    <n v="165000"/>
    <n v="0.25"/>
    <n v="247500"/>
    <n v="247500"/>
    <n v="112000"/>
    <n v="112000"/>
    <n v="224000"/>
    <n v="23500"/>
    <s v="No"/>
    <s v="Ibrahim"/>
    <s v="July"/>
    <n v="0"/>
  </r>
  <r>
    <x v="126"/>
    <x v="16"/>
    <s v="AB-01"/>
    <x v="0"/>
    <x v="1"/>
    <x v="2"/>
    <x v="6"/>
    <s v="C1129"/>
    <s v="Returning"/>
    <n v="3"/>
    <n v="9000"/>
    <n v="0.25"/>
    <n v="20250"/>
    <n v="20250"/>
    <n v="0"/>
    <n v="3500"/>
    <n v="10500"/>
    <n v="9750"/>
    <s v="No"/>
    <s v="Bola"/>
    <s v="January"/>
    <n v="0"/>
  </r>
  <r>
    <x v="127"/>
    <x v="94"/>
    <s v="AB-01"/>
    <x v="0"/>
    <x v="0"/>
    <x v="1"/>
    <x v="1"/>
    <s v="C1124"/>
    <s v="New"/>
    <n v="2"/>
    <n v="165000"/>
    <n v="0"/>
    <n v="330000"/>
    <n v="330000"/>
    <n v="0"/>
    <n v="112000"/>
    <n v="224000"/>
    <n v="106000"/>
    <s v="No"/>
    <s v="David"/>
    <s v="April"/>
    <n v="0"/>
  </r>
  <r>
    <x v="128"/>
    <x v="52"/>
    <s v="PH-01"/>
    <x v="4"/>
    <x v="0"/>
    <x v="2"/>
    <x v="8"/>
    <s v="C1062"/>
    <s v="New"/>
    <n v="2"/>
    <n v="28000"/>
    <n v="0.05"/>
    <n v="53200"/>
    <n v="53200"/>
    <n v="16000"/>
    <n v="16000"/>
    <n v="32000"/>
    <n v="21200"/>
    <s v="No"/>
    <s v="Chinedu"/>
    <s v="April"/>
    <n v="0"/>
  </r>
  <r>
    <x v="129"/>
    <x v="95"/>
    <s v="LG-02"/>
    <x v="1"/>
    <x v="0"/>
    <x v="2"/>
    <x v="6"/>
    <s v="C1046"/>
    <s v="New"/>
    <n v="2"/>
    <n v="9000"/>
    <n v="0"/>
    <n v="18000"/>
    <n v="18000"/>
    <n v="3500"/>
    <n v="3500"/>
    <n v="7000"/>
    <n v="11000"/>
    <s v="No"/>
    <s v="Kemi"/>
    <s v="April"/>
    <n v="0"/>
  </r>
  <r>
    <x v="130"/>
    <x v="6"/>
    <s v="LG-02"/>
    <x v="1"/>
    <x v="0"/>
    <x v="0"/>
    <x v="5"/>
    <s v="C1191"/>
    <s v="New"/>
    <n v="1"/>
    <n v="42000"/>
    <n v="0"/>
    <n v="42000"/>
    <n v="42000"/>
    <n v="28000"/>
    <n v="28000"/>
    <n v="28000"/>
    <n v="14000"/>
    <s v="No"/>
    <s v="David"/>
    <s v="March"/>
    <n v="0"/>
  </r>
  <r>
    <x v="131"/>
    <x v="96"/>
    <s v="PH-01"/>
    <x v="4"/>
    <x v="2"/>
    <x v="1"/>
    <x v="3"/>
    <s v="C1076"/>
    <s v="Returning"/>
    <n v="4"/>
    <n v="26000"/>
    <n v="0"/>
    <n v="104000"/>
    <n v="104000"/>
    <n v="15000"/>
    <n v="15000"/>
    <n v="60000"/>
    <n v="44000"/>
    <s v="No"/>
    <s v="Aisha"/>
    <s v="August"/>
    <n v="0"/>
  </r>
  <r>
    <x v="132"/>
    <x v="97"/>
    <s v="KN-01"/>
    <x v="2"/>
    <x v="2"/>
    <x v="0"/>
    <x v="7"/>
    <s v="C1153"/>
    <s v="Returning"/>
    <n v="1"/>
    <n v="24000"/>
    <n v="0"/>
    <n v="24000"/>
    <n v="24000"/>
    <n v="15000"/>
    <n v="15000"/>
    <n v="15000"/>
    <n v="9000"/>
    <s v="No"/>
    <s v="Kemi"/>
    <s v="June"/>
    <n v="0"/>
  </r>
  <r>
    <x v="133"/>
    <x v="36"/>
    <s v="AB-02"/>
    <x v="0"/>
    <x v="1"/>
    <x v="0"/>
    <x v="0"/>
    <s v="C1016"/>
    <s v="Returning"/>
    <n v="3"/>
    <n v="58000"/>
    <n v="0.25"/>
    <n v="130500"/>
    <n v="130500"/>
    <n v="39000"/>
    <n v="39000"/>
    <n v="117000"/>
    <n v="13500"/>
    <s v="No"/>
    <s v="Ibrahim"/>
    <s v="May"/>
    <n v="0"/>
  </r>
  <r>
    <x v="134"/>
    <x v="98"/>
    <s v="KN-01"/>
    <x v="2"/>
    <x v="0"/>
    <x v="0"/>
    <x v="7"/>
    <s v="C1003"/>
    <s v="Returning"/>
    <n v="1"/>
    <n v="24000"/>
    <n v="0.15"/>
    <n v="20400"/>
    <n v="20400"/>
    <n v="15000"/>
    <n v="15000"/>
    <n v="15000"/>
    <n v="5400"/>
    <s v="No"/>
    <s v="Kemi"/>
    <s v="April"/>
    <n v="0"/>
  </r>
  <r>
    <x v="135"/>
    <x v="99"/>
    <s v="KN-01"/>
    <x v="2"/>
    <x v="2"/>
    <x v="1"/>
    <x v="3"/>
    <s v="C1149"/>
    <s v="New"/>
    <n v="2"/>
    <n v="26000"/>
    <n v="0.15"/>
    <n v="44200"/>
    <n v="44200"/>
    <n v="15000"/>
    <n v="15000"/>
    <n v="30000"/>
    <n v="14200"/>
    <s v="No"/>
    <s v="Fatima"/>
    <s v="February"/>
    <n v="0"/>
  </r>
  <r>
    <x v="136"/>
    <x v="38"/>
    <s v="LG-01"/>
    <x v="1"/>
    <x v="1"/>
    <x v="0"/>
    <x v="5"/>
    <s v="C1072"/>
    <s v="Returning"/>
    <n v="2"/>
    <n v="42000"/>
    <n v="0"/>
    <n v="84000"/>
    <n v="84000"/>
    <n v="28000"/>
    <n v="28000"/>
    <n v="56000"/>
    <n v="28000"/>
    <s v="No"/>
    <s v="David"/>
    <s v="May"/>
    <n v="0"/>
  </r>
  <r>
    <x v="137"/>
    <x v="100"/>
    <s v="IB-01"/>
    <x v="3"/>
    <x v="2"/>
    <x v="1"/>
    <x v="2"/>
    <s v="C1161"/>
    <s v="Returning"/>
    <n v="4"/>
    <n v="32000"/>
    <n v="0"/>
    <n v="128000"/>
    <n v="128000"/>
    <n v="19000"/>
    <n v="19000"/>
    <n v="76000"/>
    <n v="52000"/>
    <s v="No"/>
    <s v="Fatima"/>
    <s v="April"/>
    <n v="0"/>
  </r>
  <r>
    <x v="138"/>
    <x v="43"/>
    <s v="LG-01"/>
    <x v="1"/>
    <x v="2"/>
    <x v="2"/>
    <x v="8"/>
    <s v="C1146"/>
    <s v="New"/>
    <n v="3"/>
    <n v="28000"/>
    <n v="0.05"/>
    <n v="79800"/>
    <n v="79800"/>
    <n v="16000"/>
    <n v="16000"/>
    <n v="48000"/>
    <n v="31800"/>
    <s v="No"/>
    <s v="Bola"/>
    <s v="February"/>
    <n v="0"/>
  </r>
  <r>
    <x v="139"/>
    <x v="101"/>
    <s v="LG-02"/>
    <x v="1"/>
    <x v="2"/>
    <x v="2"/>
    <x v="4"/>
    <s v="C1002"/>
    <s v="Returning"/>
    <n v="2"/>
    <n v="6500"/>
    <n v="0.15"/>
    <n v="11050"/>
    <n v="11050"/>
    <n v="2200"/>
    <n v="2200"/>
    <n v="4400"/>
    <n v="6650"/>
    <s v="No"/>
    <s v="Ibrahim"/>
    <s v="March"/>
    <n v="0"/>
  </r>
  <r>
    <x v="140"/>
    <x v="102"/>
    <s v="LG-02"/>
    <x v="1"/>
    <x v="2"/>
    <x v="0"/>
    <x v="5"/>
    <s v="C1068"/>
    <s v="Returning"/>
    <n v="18"/>
    <n v="42000"/>
    <n v="0"/>
    <n v="756000"/>
    <n v="756000"/>
    <n v="28000"/>
    <n v="28000"/>
    <n v="504000"/>
    <n v="252000"/>
    <s v="No"/>
    <s v="Ibrahim"/>
    <s v="January"/>
    <n v="0"/>
  </r>
  <r>
    <x v="141"/>
    <x v="1"/>
    <s v="IB-01"/>
    <x v="3"/>
    <x v="1"/>
    <x v="1"/>
    <x v="2"/>
    <s v="C1088"/>
    <s v="New"/>
    <n v="1"/>
    <n v="32000"/>
    <n v="0"/>
    <n v="32000"/>
    <n v="32000"/>
    <n v="19000"/>
    <n v="19000"/>
    <n v="19000"/>
    <n v="13000"/>
    <s v="No"/>
    <s v="Kemi"/>
    <s v="April"/>
    <n v="0"/>
  </r>
  <r>
    <x v="142"/>
    <x v="103"/>
    <s v="LG-02"/>
    <x v="1"/>
    <x v="2"/>
    <x v="1"/>
    <x v="1"/>
    <s v="C1164"/>
    <s v="Returning"/>
    <n v="2"/>
    <n v="165000"/>
    <n v="0"/>
    <n v="330000"/>
    <n v="330000"/>
    <n v="112000"/>
    <n v="112000"/>
    <n v="224000"/>
    <n v="106000"/>
    <s v="No"/>
    <s v="Ibrahim"/>
    <s v="June"/>
    <n v="0"/>
  </r>
  <r>
    <x v="143"/>
    <x v="41"/>
    <s v="IB-01"/>
    <x v="3"/>
    <x v="0"/>
    <x v="1"/>
    <x v="2"/>
    <s v="C1139"/>
    <s v="New"/>
    <n v="2"/>
    <n v="32000"/>
    <n v="0.15"/>
    <n v="54400"/>
    <n v="54400"/>
    <n v="19000"/>
    <n v="19000"/>
    <n v="38000"/>
    <n v="16400"/>
    <s v="Yes"/>
    <s v="Grace"/>
    <s v="April"/>
    <n v="1"/>
  </r>
  <r>
    <x v="144"/>
    <x v="17"/>
    <s v="IB-01"/>
    <x v="3"/>
    <x v="2"/>
    <x v="2"/>
    <x v="8"/>
    <s v="C1018"/>
    <s v="New"/>
    <n v="1"/>
    <n v="28000"/>
    <n v="0"/>
    <n v="28000"/>
    <n v="28000"/>
    <n v="16000"/>
    <n v="16000"/>
    <n v="16000"/>
    <n v="12000"/>
    <s v="No"/>
    <s v="Chinedu"/>
    <s v="April"/>
    <n v="0"/>
  </r>
  <r>
    <x v="145"/>
    <x v="104"/>
    <s v="KN-01"/>
    <x v="2"/>
    <x v="1"/>
    <x v="1"/>
    <x v="2"/>
    <s v="C1128"/>
    <s v="Returning"/>
    <n v="1"/>
    <n v="32000"/>
    <n v="0.1"/>
    <n v="28800"/>
    <n v="28800"/>
    <n v="19000"/>
    <n v="19000"/>
    <n v="19000"/>
    <n v="9800"/>
    <s v="No"/>
    <s v="Ibrahim"/>
    <s v="March"/>
    <n v="0"/>
  </r>
  <r>
    <x v="146"/>
    <x v="105"/>
    <s v="PH-01"/>
    <x v="4"/>
    <x v="2"/>
    <x v="0"/>
    <x v="5"/>
    <s v="C1172"/>
    <s v="New"/>
    <n v="2"/>
    <n v="42000"/>
    <n v="0.05"/>
    <n v="79800"/>
    <n v="79800"/>
    <n v="28000"/>
    <n v="28000"/>
    <n v="56000"/>
    <n v="23800"/>
    <s v="No"/>
    <s v="Chinedu"/>
    <s v="April"/>
    <n v="0"/>
  </r>
  <r>
    <x v="147"/>
    <x v="66"/>
    <s v="PH-01"/>
    <x v="4"/>
    <x v="1"/>
    <x v="0"/>
    <x v="7"/>
    <s v="C1069"/>
    <s v="Returning"/>
    <n v="1"/>
    <n v="24000"/>
    <n v="0.05"/>
    <n v="22800"/>
    <n v="22800"/>
    <n v="15000"/>
    <n v="15000"/>
    <n v="15000"/>
    <n v="7800"/>
    <s v="No"/>
    <s v="Chinedu"/>
    <s v="July"/>
    <n v="0"/>
  </r>
  <r>
    <x v="148"/>
    <x v="106"/>
    <s v="LG-02"/>
    <x v="1"/>
    <x v="2"/>
    <x v="2"/>
    <x v="6"/>
    <s v="C1150"/>
    <s v="Returning"/>
    <n v="4"/>
    <n v="9000"/>
    <n v="0.05"/>
    <n v="34200"/>
    <n v="34200"/>
    <n v="3500"/>
    <n v="3500"/>
    <n v="14000"/>
    <n v="20200"/>
    <s v="No"/>
    <s v="Grace"/>
    <s v="January"/>
    <n v="0"/>
  </r>
  <r>
    <x v="149"/>
    <x v="16"/>
    <s v="IB-01"/>
    <x v="3"/>
    <x v="1"/>
    <x v="1"/>
    <x v="3"/>
    <s v="C1044"/>
    <s v="Returning"/>
    <n v="1"/>
    <n v="26000"/>
    <n v="0.1"/>
    <n v="23400"/>
    <n v="23400"/>
    <n v="15000"/>
    <n v="15000"/>
    <n v="15000"/>
    <n v="8400"/>
    <s v="No"/>
    <s v="Grace"/>
    <s v="January"/>
    <n v="0"/>
  </r>
  <r>
    <x v="150"/>
    <x v="107"/>
    <s v="KN-01"/>
    <x v="2"/>
    <x v="1"/>
    <x v="1"/>
    <x v="1"/>
    <s v="C1186"/>
    <s v="New"/>
    <n v="1"/>
    <n v="165000"/>
    <n v="0.15"/>
    <n v="140250"/>
    <n v="140250"/>
    <n v="112000"/>
    <n v="112000"/>
    <n v="112000"/>
    <n v="28250"/>
    <s v="No"/>
    <s v="Chinedu"/>
    <s v="February"/>
    <n v="0"/>
  </r>
  <r>
    <x v="151"/>
    <x v="21"/>
    <s v="LG-02"/>
    <x v="1"/>
    <x v="0"/>
    <x v="2"/>
    <x v="4"/>
    <s v="C1076"/>
    <s v="Returning"/>
    <n v="1"/>
    <n v="6500"/>
    <n v="0"/>
    <n v="6500"/>
    <n v="6500"/>
    <n v="2200"/>
    <n v="2200"/>
    <n v="2200"/>
    <n v="4300"/>
    <s v="No"/>
    <s v="Ibrahim"/>
    <s v="January"/>
    <n v="0"/>
  </r>
  <r>
    <x v="152"/>
    <x v="108"/>
    <s v="AB-02"/>
    <x v="0"/>
    <x v="0"/>
    <x v="1"/>
    <x v="2"/>
    <s v="C1117"/>
    <s v="Returning"/>
    <n v="1"/>
    <n v="32000"/>
    <n v="0.25"/>
    <n v="24000"/>
    <n v="24000"/>
    <n v="19000"/>
    <n v="19000"/>
    <n v="19000"/>
    <n v="5000"/>
    <s v="No"/>
    <s v="Fatima"/>
    <s v="July"/>
    <n v="0"/>
  </r>
  <r>
    <x v="153"/>
    <x v="67"/>
    <s v="IB-01"/>
    <x v="3"/>
    <x v="2"/>
    <x v="1"/>
    <x v="2"/>
    <s v="C1024"/>
    <s v="New"/>
    <n v="1"/>
    <n v="32000"/>
    <n v="0"/>
    <n v="32000"/>
    <n v="32000"/>
    <n v="0"/>
    <n v="19000"/>
    <n v="19000"/>
    <n v="13000"/>
    <s v="No"/>
    <s v="Fatima"/>
    <s v="February"/>
    <n v="0"/>
  </r>
  <r>
    <x v="154"/>
    <x v="109"/>
    <s v="LG-02"/>
    <x v="1"/>
    <x v="2"/>
    <x v="2"/>
    <x v="8"/>
    <s v="C1005"/>
    <s v="New"/>
    <n v="5"/>
    <n v="28000"/>
    <n v="0.15"/>
    <n v="119000"/>
    <n v="119000"/>
    <n v="16000"/>
    <n v="16000"/>
    <n v="80000"/>
    <n v="39000"/>
    <s v="No"/>
    <s v="Chinedu"/>
    <s v="June"/>
    <n v="0"/>
  </r>
  <r>
    <x v="155"/>
    <x v="110"/>
    <s v="LG-01"/>
    <x v="1"/>
    <x v="2"/>
    <x v="1"/>
    <x v="2"/>
    <s v="C1004"/>
    <s v="New"/>
    <n v="1"/>
    <n v="32000"/>
    <n v="0"/>
    <n v="32000"/>
    <n v="32000"/>
    <n v="19000"/>
    <n v="19000"/>
    <n v="19000"/>
    <n v="13000"/>
    <s v="No"/>
    <s v="Kemi"/>
    <s v="July"/>
    <n v="0"/>
  </r>
  <r>
    <x v="156"/>
    <x v="104"/>
    <s v="IB-01"/>
    <x v="3"/>
    <x v="1"/>
    <x v="1"/>
    <x v="2"/>
    <s v="C1105"/>
    <s v="New"/>
    <n v="1"/>
    <n v="32000"/>
    <n v="0.1"/>
    <n v="28800"/>
    <n v="28800"/>
    <n v="19000"/>
    <n v="19000"/>
    <n v="19000"/>
    <n v="9800"/>
    <s v="No"/>
    <s v="Grace"/>
    <s v="March"/>
    <n v="0"/>
  </r>
  <r>
    <x v="157"/>
    <x v="111"/>
    <s v="PH-01"/>
    <x v="4"/>
    <x v="1"/>
    <x v="2"/>
    <x v="6"/>
    <s v="C1067"/>
    <s v="New"/>
    <n v="2"/>
    <n v="9000"/>
    <n v="0.05"/>
    <n v="17100"/>
    <n v="17100"/>
    <n v="0"/>
    <n v="3500"/>
    <n v="7000"/>
    <n v="10100"/>
    <s v="No"/>
    <s v="Kemi"/>
    <s v="June"/>
    <n v="0"/>
  </r>
  <r>
    <x v="158"/>
    <x v="112"/>
    <s v="LG-01"/>
    <x v="1"/>
    <x v="2"/>
    <x v="0"/>
    <x v="7"/>
    <s v="C1184"/>
    <s v="New"/>
    <n v="1"/>
    <n v="24000"/>
    <n v="0"/>
    <n v="24000"/>
    <n v="24000"/>
    <n v="15000"/>
    <n v="15000"/>
    <n v="15000"/>
    <n v="9000"/>
    <s v="No"/>
    <s v="David"/>
    <s v="July"/>
    <n v="0"/>
  </r>
  <r>
    <x v="159"/>
    <x v="32"/>
    <s v="LG-02"/>
    <x v="1"/>
    <x v="1"/>
    <x v="0"/>
    <x v="7"/>
    <s v="C1008"/>
    <s v="Returning"/>
    <n v="1"/>
    <n v="24000"/>
    <n v="0"/>
    <n v="24000"/>
    <n v="24000"/>
    <n v="15000"/>
    <n v="15000"/>
    <n v="15000"/>
    <n v="9000"/>
    <s v="No"/>
    <s v="Grace"/>
    <s v="February"/>
    <n v="0"/>
  </r>
  <r>
    <x v="160"/>
    <x v="113"/>
    <s v="IB-01"/>
    <x v="3"/>
    <x v="0"/>
    <x v="0"/>
    <x v="0"/>
    <s v="C1096"/>
    <s v="Returning"/>
    <n v="3"/>
    <n v="58000"/>
    <n v="0"/>
    <n v="174000"/>
    <n v="174000"/>
    <n v="39000"/>
    <n v="39000"/>
    <n v="117000"/>
    <n v="57000"/>
    <s v="No"/>
    <s v="David"/>
    <s v="July"/>
    <n v="0"/>
  </r>
  <r>
    <x v="161"/>
    <x v="1"/>
    <s v="IB-01"/>
    <x v="3"/>
    <x v="0"/>
    <x v="2"/>
    <x v="6"/>
    <s v="C1119"/>
    <s v="New"/>
    <n v="1"/>
    <n v="9000"/>
    <n v="0"/>
    <n v="9000"/>
    <n v="9000"/>
    <n v="0"/>
    <n v="3500"/>
    <n v="3500"/>
    <n v="5500"/>
    <s v="No"/>
    <s v="Fatima"/>
    <s v="April"/>
    <n v="0"/>
  </r>
  <r>
    <x v="162"/>
    <x v="78"/>
    <s v="KN-01"/>
    <x v="2"/>
    <x v="1"/>
    <x v="1"/>
    <x v="3"/>
    <s v="C1158"/>
    <s v="New"/>
    <n v="5"/>
    <n v="26000"/>
    <n v="0.15"/>
    <n v="88400"/>
    <n v="110500"/>
    <n v="15000"/>
    <n v="15000"/>
    <n v="75000"/>
    <n v="35500"/>
    <s v="No"/>
    <s v="Bola"/>
    <s v="June"/>
    <n v="0"/>
  </r>
  <r>
    <x v="163"/>
    <x v="114"/>
    <s v="KN-01"/>
    <x v="2"/>
    <x v="1"/>
    <x v="1"/>
    <x v="1"/>
    <s v="C1037"/>
    <s v="Returning"/>
    <n v="5"/>
    <n v="165000"/>
    <n v="0.05"/>
    <n v="783750"/>
    <n v="783750"/>
    <n v="112000"/>
    <n v="112000"/>
    <n v="560000"/>
    <n v="223750"/>
    <s v="No"/>
    <s v="Chinedu"/>
    <s v="March"/>
    <n v="0"/>
  </r>
  <r>
    <x v="164"/>
    <x v="115"/>
    <s v="LG-01"/>
    <x v="1"/>
    <x v="1"/>
    <x v="1"/>
    <x v="1"/>
    <s v="C1036"/>
    <s v="Returning"/>
    <n v="1"/>
    <n v="165000"/>
    <n v="0"/>
    <n v="165000"/>
    <n v="165000"/>
    <n v="112000"/>
    <n v="112000"/>
    <n v="112000"/>
    <n v="53000"/>
    <s v="No"/>
    <s v="Fatima"/>
    <s v="May"/>
    <n v="0"/>
  </r>
  <r>
    <x v="165"/>
    <x v="116"/>
    <s v="LG-01"/>
    <x v="1"/>
    <x v="1"/>
    <x v="1"/>
    <x v="2"/>
    <s v="C1013"/>
    <s v="Returning"/>
    <n v="3"/>
    <n v="32000"/>
    <n v="0.05"/>
    <n v="91200"/>
    <n v="91200"/>
    <n v="19000"/>
    <n v="19000"/>
    <n v="57000"/>
    <n v="34200"/>
    <s v="No"/>
    <s v="Aisha"/>
    <s v="May"/>
    <n v="0"/>
  </r>
  <r>
    <x v="166"/>
    <x v="117"/>
    <s v="LG-02"/>
    <x v="1"/>
    <x v="0"/>
    <x v="1"/>
    <x v="2"/>
    <s v="C1023"/>
    <s v="New"/>
    <n v="1"/>
    <n v="32000"/>
    <n v="0.1"/>
    <n v="28800"/>
    <n v="28800"/>
    <n v="19000"/>
    <n v="19000"/>
    <n v="19000"/>
    <n v="9800"/>
    <s v="No"/>
    <s v="Aisha"/>
    <s v="August"/>
    <n v="0"/>
  </r>
  <r>
    <x v="167"/>
    <x v="50"/>
    <s v="KN-01"/>
    <x v="2"/>
    <x v="0"/>
    <x v="1"/>
    <x v="2"/>
    <s v="C1134"/>
    <s v="New"/>
    <n v="22"/>
    <n v="32000"/>
    <n v="0.05"/>
    <n v="668800"/>
    <n v="668800"/>
    <n v="19000"/>
    <n v="19000"/>
    <n v="418000"/>
    <n v="250800"/>
    <s v="Yes"/>
    <s v="Chinedu"/>
    <s v="August"/>
    <n v="1"/>
  </r>
  <r>
    <x v="168"/>
    <x v="118"/>
    <s v="AB-01"/>
    <x v="0"/>
    <x v="0"/>
    <x v="1"/>
    <x v="3"/>
    <s v="C1176"/>
    <s v="Returning"/>
    <n v="3"/>
    <n v="26000"/>
    <n v="0.15"/>
    <n v="66300"/>
    <n v="66300"/>
    <n v="15000"/>
    <n v="15000"/>
    <n v="45000"/>
    <n v="21300"/>
    <s v="Yes"/>
    <s v="David"/>
    <s v="February"/>
    <n v="1"/>
  </r>
  <r>
    <x v="169"/>
    <x v="119"/>
    <s v="LG-02"/>
    <x v="1"/>
    <x v="2"/>
    <x v="1"/>
    <x v="3"/>
    <s v="C1004"/>
    <s v="New"/>
    <n v="1"/>
    <n v="26000"/>
    <n v="0.05"/>
    <n v="24700"/>
    <n v="24700"/>
    <n v="15000"/>
    <n v="15000"/>
    <n v="15000"/>
    <n v="9700"/>
    <s v="No"/>
    <s v="Ibrahim"/>
    <s v="May"/>
    <n v="0"/>
  </r>
  <r>
    <x v="170"/>
    <x v="66"/>
    <s v="KN-01"/>
    <x v="2"/>
    <x v="1"/>
    <x v="0"/>
    <x v="7"/>
    <s v="C1026"/>
    <s v="Returning"/>
    <n v="3"/>
    <n v="24000"/>
    <n v="0.15"/>
    <n v="61200"/>
    <n v="61200"/>
    <n v="15000"/>
    <n v="15000"/>
    <n v="45000"/>
    <n v="16200"/>
    <s v="No"/>
    <s v="Grace"/>
    <s v="July"/>
    <n v="0"/>
  </r>
  <r>
    <x v="171"/>
    <x v="120"/>
    <s v="IB-01"/>
    <x v="3"/>
    <x v="2"/>
    <x v="2"/>
    <x v="8"/>
    <s v="C1172"/>
    <s v="New"/>
    <n v="2"/>
    <n v="28000"/>
    <n v="0.15"/>
    <n v="52360"/>
    <n v="47600"/>
    <n v="16000"/>
    <n v="16000"/>
    <n v="32000"/>
    <n v="15600"/>
    <s v="No"/>
    <s v="David"/>
    <s v="March"/>
    <n v="0"/>
  </r>
  <r>
    <x v="172"/>
    <x v="21"/>
    <s v="KN-01"/>
    <x v="2"/>
    <x v="1"/>
    <x v="2"/>
    <x v="4"/>
    <s v="C1102"/>
    <s v="Returning"/>
    <n v="1"/>
    <n v="6500"/>
    <n v="0.1"/>
    <n v="5850"/>
    <n v="5850"/>
    <n v="2200"/>
    <n v="2200"/>
    <n v="2200"/>
    <n v="3650"/>
    <s v="Yes"/>
    <s v="Chinedu"/>
    <s v="January"/>
    <n v="1"/>
  </r>
  <r>
    <x v="173"/>
    <x v="121"/>
    <s v="LG-01"/>
    <x v="1"/>
    <x v="2"/>
    <x v="2"/>
    <x v="4"/>
    <s v="C1096"/>
    <s v="Returning"/>
    <n v="2"/>
    <n v="6500"/>
    <n v="0.15"/>
    <n v="11050"/>
    <n v="11050"/>
    <n v="2200"/>
    <n v="2200"/>
    <n v="4400"/>
    <n v="6650"/>
    <s v="No"/>
    <s v="Aisha"/>
    <s v="August"/>
    <n v="0"/>
  </r>
  <r>
    <x v="174"/>
    <x v="42"/>
    <s v="AB-02"/>
    <x v="0"/>
    <x v="2"/>
    <x v="0"/>
    <x v="7"/>
    <s v="C1102"/>
    <s v="Returning"/>
    <n v="5"/>
    <n v="24000"/>
    <n v="0.25"/>
    <n v="90000"/>
    <n v="90000"/>
    <n v="15000"/>
    <n v="15000"/>
    <n v="75000"/>
    <n v="15000"/>
    <s v="No"/>
    <s v="David"/>
    <s v="January"/>
    <n v="0"/>
  </r>
  <r>
    <x v="175"/>
    <x v="63"/>
    <s v="IB-01"/>
    <x v="3"/>
    <x v="1"/>
    <x v="2"/>
    <x v="6"/>
    <s v="C1134"/>
    <s v="New"/>
    <n v="2"/>
    <n v="9000"/>
    <n v="0.1"/>
    <n v="16200"/>
    <n v="16200"/>
    <n v="3500"/>
    <n v="3500"/>
    <n v="7000"/>
    <n v="9200"/>
    <s v="No"/>
    <s v="Ibrahim"/>
    <s v="August"/>
    <n v="0"/>
  </r>
  <r>
    <x v="176"/>
    <x v="44"/>
    <s v="AB-02"/>
    <x v="0"/>
    <x v="0"/>
    <x v="0"/>
    <x v="0"/>
    <s v="C1123"/>
    <s v="New"/>
    <n v="1"/>
    <n v="58000"/>
    <n v="0.2"/>
    <n v="46400"/>
    <n v="46400"/>
    <n v="39000"/>
    <n v="39000"/>
    <n v="39000"/>
    <n v="7400"/>
    <s v="No"/>
    <s v="Kemi"/>
    <s v="June"/>
    <n v="0"/>
  </r>
  <r>
    <x v="177"/>
    <x v="122"/>
    <s v="KN-01"/>
    <x v="2"/>
    <x v="2"/>
    <x v="2"/>
    <x v="4"/>
    <s v="C1029"/>
    <s v="Returning"/>
    <n v="2"/>
    <n v="6500"/>
    <n v="0.15"/>
    <n v="11050"/>
    <n v="11050"/>
    <n v="0"/>
    <n v="2200"/>
    <n v="4400"/>
    <n v="6650"/>
    <s v="No"/>
    <s v="Grace"/>
    <s v="March"/>
    <n v="0"/>
  </r>
  <r>
    <x v="178"/>
    <x v="69"/>
    <s v="KN-01"/>
    <x v="2"/>
    <x v="2"/>
    <x v="1"/>
    <x v="2"/>
    <s v="C1120"/>
    <s v="Returning"/>
    <n v="5"/>
    <n v="32000"/>
    <n v="0.15"/>
    <n v="136000"/>
    <n v="136000"/>
    <n v="19000"/>
    <n v="19000"/>
    <n v="95000"/>
    <n v="41000"/>
    <s v="No"/>
    <s v="Grace"/>
    <s v="March"/>
    <n v="0"/>
  </r>
  <r>
    <x v="179"/>
    <x v="0"/>
    <s v="LG-02"/>
    <x v="1"/>
    <x v="2"/>
    <x v="2"/>
    <x v="8"/>
    <s v="C1161"/>
    <s v="New"/>
    <n v="3"/>
    <n v="28000"/>
    <n v="0.05"/>
    <n v="79800"/>
    <n v="79800"/>
    <n v="16000"/>
    <n v="16000"/>
    <n v="48000"/>
    <n v="31800"/>
    <s v="No"/>
    <s v="Chinedu"/>
    <s v="May"/>
    <n v="0"/>
  </r>
  <r>
    <x v="180"/>
    <x v="21"/>
    <s v="PH-01"/>
    <x v="4"/>
    <x v="1"/>
    <x v="0"/>
    <x v="7"/>
    <s v="C1112"/>
    <s v="Returning"/>
    <n v="1"/>
    <n v="24000"/>
    <n v="0.1"/>
    <n v="21600"/>
    <n v="21600"/>
    <n v="15000"/>
    <n v="15000"/>
    <n v="15000"/>
    <n v="6600"/>
    <s v="Yes"/>
    <s v="Chinedu"/>
    <s v="January"/>
    <n v="1"/>
  </r>
  <r>
    <x v="181"/>
    <x v="123"/>
    <s v="AB-01"/>
    <x v="0"/>
    <x v="1"/>
    <x v="2"/>
    <x v="8"/>
    <s v="C1097"/>
    <s v="Returning"/>
    <n v="2"/>
    <n v="28000"/>
    <n v="0.2"/>
    <n v="44800"/>
    <n v="44800"/>
    <n v="16000"/>
    <n v="16000"/>
    <n v="32000"/>
    <n v="12800"/>
    <s v="Yes"/>
    <s v="Kemi"/>
    <s v="March"/>
    <n v="1"/>
  </r>
  <r>
    <x v="182"/>
    <x v="124"/>
    <s v="IB-01"/>
    <x v="3"/>
    <x v="2"/>
    <x v="0"/>
    <x v="0"/>
    <s v="C1061"/>
    <s v="Returning"/>
    <n v="5"/>
    <n v="58000"/>
    <n v="0.15"/>
    <n v="246500"/>
    <n v="246500"/>
    <n v="39000"/>
    <n v="39000"/>
    <n v="195000"/>
    <n v="51500"/>
    <s v="No"/>
    <s v="Grace"/>
    <s v="July"/>
    <n v="0"/>
  </r>
  <r>
    <x v="183"/>
    <x v="125"/>
    <s v="LG-02"/>
    <x v="1"/>
    <x v="2"/>
    <x v="0"/>
    <x v="5"/>
    <s v="C1102"/>
    <s v="New"/>
    <n v="1"/>
    <n v="42000"/>
    <n v="0"/>
    <n v="42000"/>
    <n v="42000"/>
    <n v="28000"/>
    <n v="28000"/>
    <n v="28000"/>
    <n v="14000"/>
    <s v="No"/>
    <s v="David"/>
    <s v="January"/>
    <n v="0"/>
  </r>
  <r>
    <x v="184"/>
    <x v="37"/>
    <s v="AB-01"/>
    <x v="0"/>
    <x v="0"/>
    <x v="0"/>
    <x v="5"/>
    <s v="C1165"/>
    <s v="Returning"/>
    <n v="2"/>
    <n v="42000"/>
    <n v="0.15"/>
    <n v="71400"/>
    <n v="71400"/>
    <n v="28000"/>
    <n v="28000"/>
    <n v="56000"/>
    <n v="15400"/>
    <s v="No"/>
    <s v="Kemi"/>
    <s v="January"/>
    <n v="0"/>
  </r>
  <r>
    <x v="185"/>
    <x v="126"/>
    <s v="AB-02"/>
    <x v="0"/>
    <x v="1"/>
    <x v="2"/>
    <x v="6"/>
    <s v="C1014"/>
    <s v="New"/>
    <n v="2"/>
    <n v="9000"/>
    <n v="0.05"/>
    <n v="17100"/>
    <n v="17100"/>
    <n v="3500"/>
    <n v="3500"/>
    <n v="7000"/>
    <n v="10100"/>
    <s v="No"/>
    <s v="Grace"/>
    <s v="January"/>
    <n v="0"/>
  </r>
  <r>
    <x v="186"/>
    <x v="127"/>
    <s v="KN-01"/>
    <x v="2"/>
    <x v="2"/>
    <x v="0"/>
    <x v="0"/>
    <s v="C1181"/>
    <s v="New"/>
    <n v="2"/>
    <n v="58000"/>
    <n v="0.1"/>
    <n v="104400"/>
    <n v="104400"/>
    <n v="39000"/>
    <n v="39000"/>
    <n v="78000"/>
    <n v="26400"/>
    <s v="No"/>
    <s v="Ibrahim"/>
    <s v="January"/>
    <n v="0"/>
  </r>
  <r>
    <x v="187"/>
    <x v="128"/>
    <s v="KN-01"/>
    <x v="2"/>
    <x v="1"/>
    <x v="1"/>
    <x v="2"/>
    <s v="C1170"/>
    <s v="New"/>
    <n v="1"/>
    <n v="32000"/>
    <n v="0.1"/>
    <n v="28800"/>
    <n v="28800"/>
    <n v="0"/>
    <n v="19000"/>
    <n v="19000"/>
    <n v="9800"/>
    <s v="No"/>
    <s v="Kemi"/>
    <s v="May"/>
    <n v="0"/>
  </r>
  <r>
    <x v="188"/>
    <x v="129"/>
    <s v="AB-02"/>
    <x v="0"/>
    <x v="0"/>
    <x v="2"/>
    <x v="4"/>
    <s v="C1117"/>
    <s v="Returning"/>
    <n v="1"/>
    <n v="6500"/>
    <n v="0.05"/>
    <n v="6175"/>
    <n v="6175"/>
    <n v="2200"/>
    <n v="2200"/>
    <n v="2200"/>
    <n v="3975"/>
    <s v="No"/>
    <s v="Chinedu"/>
    <s v="April"/>
    <n v="0"/>
  </r>
  <r>
    <x v="189"/>
    <x v="119"/>
    <s v="LG-01"/>
    <x v="1"/>
    <x v="0"/>
    <x v="0"/>
    <x v="5"/>
    <s v="C1022"/>
    <s v="Returning"/>
    <n v="2"/>
    <n v="42000"/>
    <n v="0.15"/>
    <n v="71400"/>
    <n v="71400"/>
    <n v="28000"/>
    <n v="28000"/>
    <n v="56000"/>
    <n v="15400"/>
    <s v="No"/>
    <s v="Bola"/>
    <s v="May"/>
    <n v="0"/>
  </r>
  <r>
    <x v="190"/>
    <x v="130"/>
    <s v="IB-01"/>
    <x v="3"/>
    <x v="2"/>
    <x v="2"/>
    <x v="4"/>
    <s v="C1026"/>
    <s v="New"/>
    <n v="3"/>
    <n v="6500"/>
    <n v="0.1"/>
    <n v="17550"/>
    <n v="17550"/>
    <n v="2200"/>
    <n v="2200"/>
    <n v="6600"/>
    <n v="10950"/>
    <s v="No"/>
    <s v="David"/>
    <s v="January"/>
    <n v="0"/>
  </r>
  <r>
    <x v="191"/>
    <x v="131"/>
    <s v="KN-01"/>
    <x v="2"/>
    <x v="1"/>
    <x v="1"/>
    <x v="1"/>
    <s v="C1128"/>
    <s v="Returning"/>
    <n v="2"/>
    <n v="165000"/>
    <n v="0.1"/>
    <n v="267300"/>
    <n v="297000"/>
    <n v="112000"/>
    <n v="112000"/>
    <n v="224000"/>
    <n v="73000"/>
    <s v="No"/>
    <s v="David"/>
    <s v="March"/>
    <n v="0"/>
  </r>
  <r>
    <x v="192"/>
    <x v="65"/>
    <s v="PH-01"/>
    <x v="4"/>
    <x v="1"/>
    <x v="1"/>
    <x v="3"/>
    <s v="C1112"/>
    <s v="New"/>
    <n v="3"/>
    <n v="26000"/>
    <n v="0.1"/>
    <n v="70200"/>
    <n v="70200"/>
    <n v="15000"/>
    <n v="15000"/>
    <n v="45000"/>
    <n v="25200"/>
    <s v="No"/>
    <s v="Bola"/>
    <s v="July"/>
    <n v="0"/>
  </r>
  <r>
    <x v="193"/>
    <x v="132"/>
    <s v="AB-02"/>
    <x v="0"/>
    <x v="0"/>
    <x v="1"/>
    <x v="1"/>
    <s v="C1150"/>
    <s v="Returning"/>
    <n v="3"/>
    <n v="165000"/>
    <n v="0.25"/>
    <n v="371250"/>
    <n v="371250"/>
    <n v="112000"/>
    <n v="112000"/>
    <n v="336000"/>
    <n v="35250"/>
    <s v="No"/>
    <s v="Bola"/>
    <s v="May"/>
    <n v="0"/>
  </r>
  <r>
    <x v="194"/>
    <x v="29"/>
    <s v="PH-01"/>
    <x v="4"/>
    <x v="2"/>
    <x v="0"/>
    <x v="7"/>
    <s v="C1188"/>
    <s v="New"/>
    <n v="2"/>
    <n v="24000"/>
    <n v="0.05"/>
    <n v="45600"/>
    <n v="45600"/>
    <n v="15000"/>
    <n v="15000"/>
    <n v="30000"/>
    <n v="15600"/>
    <s v="No"/>
    <s v="Ibrahim"/>
    <s v="March"/>
    <n v="0"/>
  </r>
  <r>
    <x v="195"/>
    <x v="133"/>
    <s v="LG-02"/>
    <x v="1"/>
    <x v="2"/>
    <x v="1"/>
    <x v="2"/>
    <s v="C1147"/>
    <s v="Returning"/>
    <n v="4"/>
    <n v="32000"/>
    <n v="0.1"/>
    <n v="115200"/>
    <n v="115200"/>
    <n v="19000"/>
    <n v="19000"/>
    <n v="76000"/>
    <n v="39200"/>
    <s v="No"/>
    <s v="Grace"/>
    <s v="February"/>
    <n v="0"/>
  </r>
  <r>
    <x v="196"/>
    <x v="134"/>
    <s v="AB-01"/>
    <x v="0"/>
    <x v="1"/>
    <x v="2"/>
    <x v="6"/>
    <s v="C1152"/>
    <s v="Returning"/>
    <n v="1"/>
    <n v="9000"/>
    <n v="0.25"/>
    <n v="6750"/>
    <n v="6750"/>
    <n v="3500"/>
    <n v="3500"/>
    <n v="3500"/>
    <n v="3250"/>
    <s v="Yes"/>
    <s v="Kemi"/>
    <s v="August"/>
    <n v="1"/>
  </r>
  <r>
    <x v="197"/>
    <x v="25"/>
    <s v="KN-01"/>
    <x v="2"/>
    <x v="1"/>
    <x v="1"/>
    <x v="1"/>
    <s v="C1024"/>
    <s v="Returning"/>
    <n v="2"/>
    <n v="165000"/>
    <n v="0.05"/>
    <n v="313500"/>
    <n v="313500"/>
    <n v="112000"/>
    <n v="112000"/>
    <n v="224000"/>
    <n v="89500"/>
    <s v="No"/>
    <s v="Fatima"/>
    <s v="April"/>
    <n v="0"/>
  </r>
  <r>
    <x v="198"/>
    <x v="128"/>
    <s v="IB-01"/>
    <x v="3"/>
    <x v="0"/>
    <x v="2"/>
    <x v="8"/>
    <s v="C1135"/>
    <s v="Returning"/>
    <n v="2"/>
    <n v="28000"/>
    <n v="0.05"/>
    <n v="53200"/>
    <n v="53200"/>
    <n v="16000"/>
    <n v="16000"/>
    <n v="32000"/>
    <n v="21200"/>
    <s v="No"/>
    <s v="David"/>
    <s v="May"/>
    <n v="0"/>
  </r>
  <r>
    <x v="199"/>
    <x v="68"/>
    <s v="KN-01"/>
    <x v="2"/>
    <x v="2"/>
    <x v="2"/>
    <x v="8"/>
    <s v="C1108"/>
    <s v="Returning"/>
    <n v="2"/>
    <n v="28000"/>
    <n v="0.05"/>
    <n v="53200"/>
    <n v="53200"/>
    <n v="16000"/>
    <n v="16000"/>
    <n v="32000"/>
    <n v="21200"/>
    <s v="No"/>
    <s v="Ibrahim"/>
    <s v="January"/>
    <n v="0"/>
  </r>
  <r>
    <x v="200"/>
    <x v="135"/>
    <s v="KN-01"/>
    <x v="2"/>
    <x v="1"/>
    <x v="2"/>
    <x v="4"/>
    <s v="C1161"/>
    <s v="New"/>
    <n v="4"/>
    <n v="6500"/>
    <n v="0"/>
    <n v="26000"/>
    <n v="26000"/>
    <n v="2200"/>
    <n v="2200"/>
    <n v="8800"/>
    <n v="17200"/>
    <s v="Yes"/>
    <s v="Aisha"/>
    <s v="February"/>
    <n v="1"/>
  </r>
  <r>
    <x v="201"/>
    <x v="15"/>
    <s v="AB-01"/>
    <x v="0"/>
    <x v="1"/>
    <x v="2"/>
    <x v="4"/>
    <s v="C1097"/>
    <s v="New"/>
    <n v="1"/>
    <n v="6500"/>
    <n v="0.05"/>
    <n v="6175"/>
    <n v="6175"/>
    <n v="2200"/>
    <n v="2200"/>
    <n v="2200"/>
    <n v="3975"/>
    <s v="No"/>
    <s v="Fatima"/>
    <s v="July"/>
    <n v="0"/>
  </r>
  <r>
    <x v="202"/>
    <x v="38"/>
    <s v="AB-01"/>
    <x v="0"/>
    <x v="2"/>
    <x v="1"/>
    <x v="1"/>
    <s v="C1062"/>
    <s v="Returning"/>
    <n v="1"/>
    <n v="165000"/>
    <n v="0.25"/>
    <n v="123750"/>
    <n v="123750"/>
    <n v="112000"/>
    <n v="112000"/>
    <n v="112000"/>
    <n v="11750"/>
    <s v="No"/>
    <s v="Ibrahim"/>
    <s v="May"/>
    <n v="0"/>
  </r>
  <r>
    <x v="203"/>
    <x v="136"/>
    <s v="AB-02"/>
    <x v="0"/>
    <x v="2"/>
    <x v="2"/>
    <x v="6"/>
    <s v="C1021"/>
    <s v="Returning"/>
    <n v="3"/>
    <n v="9000"/>
    <n v="0.25"/>
    <n v="20250"/>
    <n v="20250"/>
    <n v="3500"/>
    <n v="3500"/>
    <n v="10500"/>
    <n v="9750"/>
    <s v="No"/>
    <s v="Fatima"/>
    <s v="March"/>
    <n v="0"/>
  </r>
  <r>
    <x v="204"/>
    <x v="16"/>
    <s v="PH-01"/>
    <x v="4"/>
    <x v="1"/>
    <x v="0"/>
    <x v="7"/>
    <s v="C1131"/>
    <s v="New"/>
    <n v="5"/>
    <n v="24000"/>
    <n v="0.1"/>
    <n v="108000"/>
    <n v="108000"/>
    <n v="15000"/>
    <n v="15000"/>
    <n v="75000"/>
    <n v="33000"/>
    <s v="No"/>
    <s v="Grace"/>
    <s v="January"/>
    <n v="0"/>
  </r>
  <r>
    <x v="205"/>
    <x v="137"/>
    <s v="LG-02"/>
    <x v="1"/>
    <x v="0"/>
    <x v="0"/>
    <x v="0"/>
    <s v="C1097"/>
    <s v="New"/>
    <n v="1"/>
    <n v="58000"/>
    <n v="0.15"/>
    <n v="49300"/>
    <n v="49300"/>
    <n v="39000"/>
    <n v="39000"/>
    <n v="39000"/>
    <n v="10300"/>
    <s v="No"/>
    <s v="Aisha"/>
    <s v="August"/>
    <n v="0"/>
  </r>
  <r>
    <x v="206"/>
    <x v="89"/>
    <s v="IB-01"/>
    <x v="3"/>
    <x v="2"/>
    <x v="1"/>
    <x v="1"/>
    <s v="C1166"/>
    <s v="Returning"/>
    <n v="1"/>
    <n v="165000"/>
    <n v="0.1"/>
    <n v="148500"/>
    <n v="148500"/>
    <n v="112000"/>
    <n v="112000"/>
    <n v="112000"/>
    <n v="36500"/>
    <s v="No"/>
    <s v="Kemi"/>
    <s v="March"/>
    <n v="0"/>
  </r>
  <r>
    <x v="207"/>
    <x v="101"/>
    <s v="AB-02"/>
    <x v="0"/>
    <x v="2"/>
    <x v="0"/>
    <x v="0"/>
    <s v="C1076"/>
    <s v="Returning"/>
    <n v="2"/>
    <n v="58000"/>
    <n v="0.15"/>
    <n v="98600"/>
    <n v="98600"/>
    <n v="0"/>
    <n v="39000"/>
    <n v="78000"/>
    <n v="20600"/>
    <s v="No"/>
    <s v="Kemi"/>
    <s v="March"/>
    <n v="0"/>
  </r>
  <r>
    <x v="208"/>
    <x v="138"/>
    <s v="KN-01"/>
    <x v="2"/>
    <x v="2"/>
    <x v="1"/>
    <x v="3"/>
    <s v="C1145"/>
    <s v="Returning"/>
    <n v="3"/>
    <n v="26000"/>
    <n v="0"/>
    <n v="78000"/>
    <n v="78000"/>
    <n v="15000"/>
    <n v="15000"/>
    <n v="45000"/>
    <n v="33000"/>
    <s v="No"/>
    <s v="Kemi"/>
    <s v="July"/>
    <n v="0"/>
  </r>
  <r>
    <x v="209"/>
    <x v="139"/>
    <s v="PH-01"/>
    <x v="4"/>
    <x v="2"/>
    <x v="1"/>
    <x v="2"/>
    <s v="C1119"/>
    <s v="Returning"/>
    <n v="1"/>
    <n v="32000"/>
    <n v="0"/>
    <n v="32000"/>
    <n v="32000"/>
    <n v="19000"/>
    <n v="19000"/>
    <n v="19000"/>
    <n v="13000"/>
    <s v="No"/>
    <s v="Grace"/>
    <s v="August"/>
    <n v="0"/>
  </r>
  <r>
    <x v="210"/>
    <x v="90"/>
    <s v="KN-01"/>
    <x v="2"/>
    <x v="2"/>
    <x v="0"/>
    <x v="5"/>
    <s v="C1081"/>
    <s v="Returning"/>
    <n v="4"/>
    <n v="42000"/>
    <n v="0"/>
    <n v="168000"/>
    <n v="168000"/>
    <n v="28000"/>
    <n v="28000"/>
    <n v="112000"/>
    <n v="56000"/>
    <s v="No"/>
    <s v="Fatima"/>
    <s v="August"/>
    <n v="0"/>
  </r>
  <r>
    <x v="211"/>
    <x v="140"/>
    <s v="IB-01"/>
    <x v="3"/>
    <x v="1"/>
    <x v="0"/>
    <x v="7"/>
    <s v="C1156"/>
    <s v="Returning"/>
    <n v="2"/>
    <n v="24000"/>
    <n v="0.15"/>
    <n v="40800"/>
    <n v="40800"/>
    <n v="15000"/>
    <n v="15000"/>
    <n v="30000"/>
    <n v="10800"/>
    <s v="No"/>
    <s v="Ibrahim"/>
    <s v="April"/>
    <n v="0"/>
  </r>
  <r>
    <x v="212"/>
    <x v="141"/>
    <s v="AB-02"/>
    <x v="0"/>
    <x v="2"/>
    <x v="1"/>
    <x v="1"/>
    <s v="C1085"/>
    <s v="New"/>
    <n v="2"/>
    <n v="165000"/>
    <n v="0.15"/>
    <n v="280500"/>
    <n v="280500"/>
    <n v="0"/>
    <n v="112000"/>
    <n v="224000"/>
    <n v="56500"/>
    <s v="No"/>
    <s v="Fatima"/>
    <s v="January"/>
    <n v="0"/>
  </r>
  <r>
    <x v="213"/>
    <x v="59"/>
    <s v="LG-01"/>
    <x v="1"/>
    <x v="2"/>
    <x v="2"/>
    <x v="4"/>
    <s v="C1165"/>
    <s v="New"/>
    <n v="2"/>
    <n v="6500"/>
    <n v="0.05"/>
    <n v="12350"/>
    <n v="12350"/>
    <n v="2200"/>
    <n v="2200"/>
    <n v="4400"/>
    <n v="7950"/>
    <s v="No"/>
    <s v="Grace"/>
    <s v="March"/>
    <n v="0"/>
  </r>
  <r>
    <x v="214"/>
    <x v="142"/>
    <s v="KN-01"/>
    <x v="2"/>
    <x v="2"/>
    <x v="1"/>
    <x v="3"/>
    <s v="C1024"/>
    <s v="New"/>
    <n v="3"/>
    <n v="26000"/>
    <n v="0"/>
    <n v="78000"/>
    <n v="78000"/>
    <n v="15000"/>
    <n v="15000"/>
    <n v="45000"/>
    <n v="33000"/>
    <s v="No"/>
    <s v="Grace"/>
    <s v="April"/>
    <n v="0"/>
  </r>
  <r>
    <x v="215"/>
    <x v="51"/>
    <s v="LG-01"/>
    <x v="1"/>
    <x v="1"/>
    <x v="2"/>
    <x v="4"/>
    <s v="C1076"/>
    <s v="New"/>
    <n v="4"/>
    <n v="6500"/>
    <n v="0"/>
    <n v="26000"/>
    <n v="26000"/>
    <n v="2200"/>
    <n v="2200"/>
    <n v="8800"/>
    <n v="17200"/>
    <s v="No"/>
    <s v="Chinedu"/>
    <s v="May"/>
    <n v="0"/>
  </r>
  <r>
    <x v="216"/>
    <x v="109"/>
    <s v="LG-02"/>
    <x v="1"/>
    <x v="1"/>
    <x v="0"/>
    <x v="7"/>
    <s v="C1144"/>
    <s v="Returning"/>
    <n v="2"/>
    <n v="24000"/>
    <n v="0.05"/>
    <n v="45600"/>
    <n v="45600"/>
    <n v="15000"/>
    <n v="15000"/>
    <n v="30000"/>
    <n v="15600"/>
    <s v="No"/>
    <s v="Fatima"/>
    <s v="June"/>
    <n v="0"/>
  </r>
  <r>
    <x v="217"/>
    <x v="11"/>
    <s v="LG-02"/>
    <x v="1"/>
    <x v="0"/>
    <x v="0"/>
    <x v="0"/>
    <s v="C1098"/>
    <s v="New"/>
    <n v="3"/>
    <n v="58000"/>
    <n v="0.05"/>
    <n v="165300"/>
    <n v="165300"/>
    <n v="39000"/>
    <n v="39000"/>
    <n v="117000"/>
    <n v="48300"/>
    <s v="No"/>
    <s v="Fatima"/>
    <s v="April"/>
    <n v="0"/>
  </r>
  <r>
    <x v="218"/>
    <x v="143"/>
    <s v="PH-01"/>
    <x v="4"/>
    <x v="2"/>
    <x v="0"/>
    <x v="0"/>
    <s v="C1107"/>
    <s v="Returning"/>
    <n v="5"/>
    <n v="58000"/>
    <n v="0.15"/>
    <n v="246500"/>
    <n v="246500"/>
    <n v="39000"/>
    <n v="39000"/>
    <n v="195000"/>
    <n v="51500"/>
    <s v="No"/>
    <s v="Grace"/>
    <s v="August"/>
    <n v="0"/>
  </r>
  <r>
    <x v="219"/>
    <x v="68"/>
    <s v="KN-01"/>
    <x v="2"/>
    <x v="0"/>
    <x v="1"/>
    <x v="3"/>
    <s v="C1104"/>
    <s v="Returning"/>
    <n v="2"/>
    <n v="26000"/>
    <n v="0"/>
    <n v="52000"/>
    <n v="52000"/>
    <n v="15000"/>
    <n v="15000"/>
    <n v="30000"/>
    <n v="22000"/>
    <s v="No"/>
    <s v="Chinedu"/>
    <s v="January"/>
    <n v="0"/>
  </r>
  <r>
    <x v="220"/>
    <x v="56"/>
    <s v="IB-01"/>
    <x v="3"/>
    <x v="2"/>
    <x v="2"/>
    <x v="8"/>
    <s v="C1003"/>
    <s v="Returning"/>
    <n v="3"/>
    <n v="28000"/>
    <n v="0.1"/>
    <n v="75600"/>
    <n v="75600"/>
    <n v="16000"/>
    <n v="16000"/>
    <n v="48000"/>
    <n v="27600"/>
    <s v="No"/>
    <s v="Fatima"/>
    <s v="March"/>
    <n v="0"/>
  </r>
  <r>
    <x v="221"/>
    <x v="63"/>
    <s v="AB-02"/>
    <x v="0"/>
    <x v="0"/>
    <x v="0"/>
    <x v="0"/>
    <s v="C1178"/>
    <s v="New"/>
    <n v="3"/>
    <n v="58000"/>
    <n v="0.25"/>
    <n v="130500"/>
    <n v="130500"/>
    <n v="0"/>
    <n v="39000"/>
    <n v="117000"/>
    <n v="13500"/>
    <s v="Yes"/>
    <s v="Ibrahim"/>
    <s v="August"/>
    <n v="1"/>
  </r>
  <r>
    <x v="222"/>
    <x v="132"/>
    <s v="PH-01"/>
    <x v="4"/>
    <x v="0"/>
    <x v="0"/>
    <x v="5"/>
    <s v="C1033"/>
    <s v="Returning"/>
    <n v="3"/>
    <n v="42000"/>
    <n v="0.15"/>
    <n v="107100"/>
    <n v="107100"/>
    <n v="28000"/>
    <n v="28000"/>
    <n v="84000"/>
    <n v="23100"/>
    <s v="No"/>
    <s v="David"/>
    <s v="May"/>
    <n v="0"/>
  </r>
  <r>
    <x v="223"/>
    <x v="64"/>
    <s v="LG-02"/>
    <x v="1"/>
    <x v="1"/>
    <x v="1"/>
    <x v="2"/>
    <s v="C1013"/>
    <s v="Returning"/>
    <n v="1"/>
    <n v="32000"/>
    <n v="0.1"/>
    <n v="28800"/>
    <n v="28800"/>
    <n v="19000"/>
    <n v="19000"/>
    <n v="19000"/>
    <n v="9800"/>
    <s v="No"/>
    <s v="Grace"/>
    <s v="May"/>
    <n v="0"/>
  </r>
  <r>
    <x v="224"/>
    <x v="2"/>
    <s v="KN-01"/>
    <x v="2"/>
    <x v="1"/>
    <x v="0"/>
    <x v="7"/>
    <s v="C1126"/>
    <s v="New"/>
    <n v="1"/>
    <n v="24000"/>
    <n v="0.05"/>
    <n v="22800"/>
    <n v="22800"/>
    <n v="15000"/>
    <n v="15000"/>
    <n v="15000"/>
    <n v="7800"/>
    <s v="No"/>
    <s v="Kemi"/>
    <s v="February"/>
    <n v="0"/>
  </r>
  <r>
    <x v="225"/>
    <x v="144"/>
    <s v="IB-01"/>
    <x v="3"/>
    <x v="2"/>
    <x v="0"/>
    <x v="7"/>
    <s v="C1032"/>
    <s v="Returning"/>
    <n v="1"/>
    <n v="24000"/>
    <n v="0.05"/>
    <n v="22800"/>
    <n v="22800"/>
    <n v="15000"/>
    <n v="15000"/>
    <n v="15000"/>
    <n v="7800"/>
    <s v="No"/>
    <s v="Fatima"/>
    <s v="February"/>
    <n v="0"/>
  </r>
  <r>
    <x v="226"/>
    <x v="52"/>
    <s v="PH-01"/>
    <x v="4"/>
    <x v="2"/>
    <x v="0"/>
    <x v="0"/>
    <s v="C1137"/>
    <s v="Returning"/>
    <n v="2"/>
    <n v="58000"/>
    <n v="0"/>
    <n v="116000"/>
    <n v="116000"/>
    <n v="39000"/>
    <n v="39000"/>
    <n v="78000"/>
    <n v="38000"/>
    <s v="No"/>
    <s v="Aisha"/>
    <s v="April"/>
    <n v="0"/>
  </r>
  <r>
    <x v="227"/>
    <x v="136"/>
    <s v="LG-01"/>
    <x v="1"/>
    <x v="2"/>
    <x v="1"/>
    <x v="2"/>
    <s v="C1059"/>
    <s v="New"/>
    <n v="3"/>
    <n v="32000"/>
    <n v="0.15"/>
    <n v="81600"/>
    <n v="81600"/>
    <n v="19000"/>
    <n v="19000"/>
    <n v="57000"/>
    <n v="24600"/>
    <s v="No"/>
    <s v="Chinedu"/>
    <s v="March"/>
    <n v="0"/>
  </r>
  <r>
    <x v="228"/>
    <x v="145"/>
    <s v="KN-01"/>
    <x v="2"/>
    <x v="1"/>
    <x v="0"/>
    <x v="0"/>
    <s v="C1126"/>
    <s v="Returning"/>
    <n v="1"/>
    <n v="58000"/>
    <n v="0.1"/>
    <n v="52200"/>
    <n v="52200"/>
    <n v="39000"/>
    <n v="39000"/>
    <n v="39000"/>
    <n v="13200"/>
    <s v="No"/>
    <s v="Chinedu"/>
    <s v="July"/>
    <n v="0"/>
  </r>
  <r>
    <x v="229"/>
    <x v="17"/>
    <s v="KN-01"/>
    <x v="2"/>
    <x v="2"/>
    <x v="1"/>
    <x v="3"/>
    <s v="C1074"/>
    <s v="Returning"/>
    <n v="3"/>
    <n v="26000"/>
    <n v="0.15"/>
    <n v="66300"/>
    <n v="66300"/>
    <n v="15000"/>
    <n v="15000"/>
    <n v="45000"/>
    <n v="21300"/>
    <s v="No"/>
    <s v="Aisha"/>
    <s v="April"/>
    <n v="0"/>
  </r>
  <r>
    <x v="230"/>
    <x v="29"/>
    <s v="AB-01"/>
    <x v="0"/>
    <x v="0"/>
    <x v="1"/>
    <x v="1"/>
    <s v="C1142"/>
    <s v="Returning"/>
    <n v="1"/>
    <n v="165000"/>
    <n v="0.2"/>
    <n v="132000"/>
    <n v="132000"/>
    <n v="112000"/>
    <n v="112000"/>
    <n v="112000"/>
    <n v="20000"/>
    <s v="No"/>
    <s v="Grace"/>
    <s v="March"/>
    <n v="0"/>
  </r>
  <r>
    <x v="231"/>
    <x v="121"/>
    <s v="LG-01"/>
    <x v="1"/>
    <x v="2"/>
    <x v="1"/>
    <x v="1"/>
    <s v="C1059"/>
    <s v="New"/>
    <n v="1"/>
    <n v="165000"/>
    <n v="0.1"/>
    <n v="148500"/>
    <n v="148500"/>
    <n v="112000"/>
    <n v="112000"/>
    <n v="112000"/>
    <n v="36500"/>
    <s v="Yes"/>
    <s v="David"/>
    <s v="August"/>
    <n v="1"/>
  </r>
  <r>
    <x v="232"/>
    <x v="146"/>
    <s v="IB-01"/>
    <x v="3"/>
    <x v="2"/>
    <x v="2"/>
    <x v="6"/>
    <s v="C1097"/>
    <s v="Returning"/>
    <n v="3"/>
    <n v="9000"/>
    <n v="0.15"/>
    <n v="27540"/>
    <n v="22950"/>
    <n v="3500"/>
    <n v="3500"/>
    <n v="10500"/>
    <n v="12450"/>
    <s v="No"/>
    <s v="David"/>
    <s v="January"/>
    <n v="0"/>
  </r>
  <r>
    <x v="233"/>
    <x v="102"/>
    <s v="KN-01"/>
    <x v="2"/>
    <x v="1"/>
    <x v="2"/>
    <x v="6"/>
    <s v="C1091"/>
    <s v="New"/>
    <n v="2"/>
    <n v="9000"/>
    <n v="0.1"/>
    <n v="16200"/>
    <n v="16200"/>
    <n v="3500"/>
    <n v="3500"/>
    <n v="7000"/>
    <n v="9200"/>
    <s v="No"/>
    <s v="Bola"/>
    <s v="January"/>
    <n v="0"/>
  </r>
  <r>
    <x v="234"/>
    <x v="83"/>
    <s v="IB-01"/>
    <x v="3"/>
    <x v="0"/>
    <x v="0"/>
    <x v="7"/>
    <s v="C1064"/>
    <s v="New"/>
    <n v="2"/>
    <n v="24000"/>
    <n v="0.1"/>
    <n v="38880"/>
    <n v="43200"/>
    <n v="15000"/>
    <n v="15000"/>
    <n v="30000"/>
    <n v="13200"/>
    <s v="No"/>
    <s v="Aisha"/>
    <s v="May"/>
    <n v="0"/>
  </r>
  <r>
    <x v="235"/>
    <x v="147"/>
    <s v="KN-01"/>
    <x v="2"/>
    <x v="2"/>
    <x v="2"/>
    <x v="4"/>
    <s v="C1021"/>
    <s v="Returning"/>
    <n v="3"/>
    <n v="6500"/>
    <n v="0.1"/>
    <n v="17550"/>
    <n v="17550"/>
    <n v="2200"/>
    <n v="2200"/>
    <n v="6600"/>
    <n v="10950"/>
    <s v="No"/>
    <s v="Grace"/>
    <s v="March"/>
    <n v="0"/>
  </r>
  <r>
    <x v="236"/>
    <x v="148"/>
    <s v="LG-01"/>
    <x v="1"/>
    <x v="2"/>
    <x v="1"/>
    <x v="3"/>
    <s v="C1054"/>
    <s v="New"/>
    <n v="4"/>
    <n v="26000"/>
    <n v="0.1"/>
    <n v="93600"/>
    <n v="93600"/>
    <n v="15000"/>
    <n v="15000"/>
    <n v="60000"/>
    <n v="33600"/>
    <s v="No"/>
    <s v="Ibrahim"/>
    <s v="June"/>
    <n v="0"/>
  </r>
  <r>
    <x v="237"/>
    <x v="20"/>
    <s v="PH-01"/>
    <x v="4"/>
    <x v="1"/>
    <x v="0"/>
    <x v="7"/>
    <s v="C1025"/>
    <s v="New"/>
    <n v="2"/>
    <n v="24000"/>
    <n v="0"/>
    <n v="48000"/>
    <n v="48000"/>
    <n v="15000"/>
    <n v="15000"/>
    <n v="30000"/>
    <n v="18000"/>
    <s v="No"/>
    <s v="Bola"/>
    <s v="January"/>
    <n v="0"/>
  </r>
  <r>
    <x v="238"/>
    <x v="103"/>
    <s v="PH-01"/>
    <x v="4"/>
    <x v="0"/>
    <x v="1"/>
    <x v="1"/>
    <s v="C1101"/>
    <s v="Returning"/>
    <n v="1"/>
    <n v="165000"/>
    <n v="0.15"/>
    <n v="140250"/>
    <n v="140250"/>
    <n v="112000"/>
    <n v="112000"/>
    <n v="112000"/>
    <n v="28250"/>
    <s v="No"/>
    <s v="Chinedu"/>
    <s v="June"/>
    <n v="0"/>
  </r>
  <r>
    <x v="239"/>
    <x v="106"/>
    <s v="LG-01"/>
    <x v="1"/>
    <x v="1"/>
    <x v="1"/>
    <x v="3"/>
    <s v="C1136"/>
    <s v="New"/>
    <n v="3"/>
    <n v="26000"/>
    <n v="0.15"/>
    <n v="66300"/>
    <n v="66300"/>
    <n v="15000"/>
    <n v="15000"/>
    <n v="45000"/>
    <n v="21300"/>
    <s v="No"/>
    <s v="Chinedu"/>
    <s v="January"/>
    <n v="0"/>
  </r>
  <r>
    <x v="240"/>
    <x v="149"/>
    <s v="LG-02"/>
    <x v="1"/>
    <x v="1"/>
    <x v="2"/>
    <x v="4"/>
    <s v="C1023"/>
    <s v="Returning"/>
    <n v="4"/>
    <n v="6500"/>
    <n v="0.1"/>
    <n v="23400"/>
    <n v="23400"/>
    <n v="2200"/>
    <n v="2200"/>
    <n v="8800"/>
    <n v="14600"/>
    <s v="No"/>
    <s v="Grace"/>
    <s v="March"/>
    <n v="0"/>
  </r>
  <r>
    <x v="241"/>
    <x v="6"/>
    <s v="KN-01"/>
    <x v="2"/>
    <x v="2"/>
    <x v="0"/>
    <x v="7"/>
    <s v="C1116"/>
    <s v="New"/>
    <n v="2"/>
    <n v="24000"/>
    <n v="0.1"/>
    <n v="43200"/>
    <n v="43200"/>
    <n v="15000"/>
    <n v="15000"/>
    <n v="30000"/>
    <n v="13200"/>
    <s v="Yes"/>
    <s v="Kemi"/>
    <s v="March"/>
    <n v="1"/>
  </r>
  <r>
    <x v="242"/>
    <x v="124"/>
    <s v="LG-01"/>
    <x v="1"/>
    <x v="1"/>
    <x v="0"/>
    <x v="7"/>
    <s v="C1013"/>
    <s v="New"/>
    <n v="5"/>
    <n v="24000"/>
    <n v="0.1"/>
    <n v="108000"/>
    <n v="108000"/>
    <n v="15000"/>
    <n v="15000"/>
    <n v="75000"/>
    <n v="33000"/>
    <s v="No"/>
    <s v="Fatima"/>
    <s v="July"/>
    <n v="0"/>
  </r>
  <r>
    <x v="243"/>
    <x v="130"/>
    <s v="KN-01"/>
    <x v="2"/>
    <x v="0"/>
    <x v="1"/>
    <x v="3"/>
    <s v="C1140"/>
    <s v="Returning"/>
    <n v="3"/>
    <n v="26000"/>
    <n v="0.05"/>
    <n v="74100"/>
    <n v="74100"/>
    <n v="15000"/>
    <n v="15000"/>
    <n v="45000"/>
    <n v="29100"/>
    <s v="No"/>
    <s v="Kemi"/>
    <s v="January"/>
    <n v="0"/>
  </r>
  <r>
    <x v="244"/>
    <x v="78"/>
    <s v="LG-02"/>
    <x v="1"/>
    <x v="1"/>
    <x v="2"/>
    <x v="8"/>
    <s v="C1071"/>
    <s v="New"/>
    <n v="1"/>
    <n v="28000"/>
    <n v="0.15"/>
    <n v="23800"/>
    <n v="23800"/>
    <n v="16000"/>
    <n v="16000"/>
    <n v="16000"/>
    <n v="7800"/>
    <s v="No"/>
    <s v="Bola"/>
    <s v="June"/>
    <n v="0"/>
  </r>
  <r>
    <x v="245"/>
    <x v="150"/>
    <s v="KN-01"/>
    <x v="2"/>
    <x v="2"/>
    <x v="1"/>
    <x v="1"/>
    <s v="C1045"/>
    <s v="New"/>
    <n v="1"/>
    <n v="165000"/>
    <n v="0.05"/>
    <n v="156750"/>
    <n v="156750"/>
    <n v="112000"/>
    <n v="112000"/>
    <n v="112000"/>
    <n v="44750"/>
    <s v="No"/>
    <s v="Chinedu"/>
    <s v="July"/>
    <n v="0"/>
  </r>
  <r>
    <x v="246"/>
    <x v="121"/>
    <s v="AB-01"/>
    <x v="0"/>
    <x v="2"/>
    <x v="0"/>
    <x v="7"/>
    <s v="C1063"/>
    <s v="Returning"/>
    <n v="2"/>
    <n v="24000"/>
    <n v="0.2"/>
    <n v="38400"/>
    <n v="38400"/>
    <n v="0"/>
    <n v="15000"/>
    <n v="30000"/>
    <n v="8400"/>
    <s v="No"/>
    <s v="Grace"/>
    <s v="August"/>
    <n v="0"/>
  </r>
  <r>
    <x v="247"/>
    <x v="151"/>
    <s v="LG-01"/>
    <x v="1"/>
    <x v="2"/>
    <x v="2"/>
    <x v="4"/>
    <s v="C1049"/>
    <s v="Returning"/>
    <n v="1"/>
    <n v="6500"/>
    <n v="0.05"/>
    <n v="6175"/>
    <n v="6175"/>
    <n v="2200"/>
    <n v="2200"/>
    <n v="2200"/>
    <n v="3975"/>
    <s v="No"/>
    <s v="Ibrahim"/>
    <s v="July"/>
    <n v="0"/>
  </r>
  <r>
    <x v="248"/>
    <x v="35"/>
    <s v="KN-01"/>
    <x v="2"/>
    <x v="1"/>
    <x v="0"/>
    <x v="5"/>
    <s v="C1027"/>
    <s v="New"/>
    <n v="2"/>
    <n v="42000"/>
    <n v="0.1"/>
    <n v="75600"/>
    <n v="75600"/>
    <n v="28000"/>
    <n v="28000"/>
    <n v="56000"/>
    <n v="19600"/>
    <s v="No"/>
    <s v="Bola"/>
    <s v="April"/>
    <n v="0"/>
  </r>
  <r>
    <x v="249"/>
    <x v="45"/>
    <s v="IB-01"/>
    <x v="3"/>
    <x v="2"/>
    <x v="1"/>
    <x v="1"/>
    <s v="C1025"/>
    <s v="New"/>
    <n v="4"/>
    <n v="165000"/>
    <n v="0"/>
    <n v="660000"/>
    <n v="660000"/>
    <n v="112000"/>
    <n v="112000"/>
    <n v="448000"/>
    <n v="212000"/>
    <s v="No"/>
    <s v="Bola"/>
    <s v="April"/>
    <n v="0"/>
  </r>
  <r>
    <x v="250"/>
    <x v="65"/>
    <s v="LG-01"/>
    <x v="1"/>
    <x v="2"/>
    <x v="0"/>
    <x v="5"/>
    <s v="C1147"/>
    <s v="Returning"/>
    <n v="2"/>
    <n v="42000"/>
    <n v="0"/>
    <n v="84000"/>
    <n v="84000"/>
    <n v="28000"/>
    <n v="28000"/>
    <n v="56000"/>
    <n v="28000"/>
    <s v="No"/>
    <s v="Bola"/>
    <s v="July"/>
    <n v="0"/>
  </r>
  <r>
    <x v="251"/>
    <x v="152"/>
    <s v="KN-01"/>
    <x v="2"/>
    <x v="2"/>
    <x v="1"/>
    <x v="3"/>
    <s v="C1117"/>
    <s v="Returning"/>
    <n v="2"/>
    <n v="26000"/>
    <n v="0"/>
    <n v="52000"/>
    <n v="52000"/>
    <n v="15000"/>
    <n v="15000"/>
    <n v="30000"/>
    <n v="22000"/>
    <s v="No"/>
    <s v="David"/>
    <s v="July"/>
    <n v="0"/>
  </r>
  <r>
    <x v="252"/>
    <x v="68"/>
    <s v="PH-01"/>
    <x v="4"/>
    <x v="0"/>
    <x v="0"/>
    <x v="0"/>
    <s v="C1021"/>
    <s v="Returning"/>
    <n v="2"/>
    <n v="58000"/>
    <n v="0.05"/>
    <n v="110200"/>
    <n v="110200"/>
    <n v="39000"/>
    <n v="39000"/>
    <n v="78000"/>
    <n v="32200"/>
    <s v="No"/>
    <s v="Ibrahim"/>
    <s v="January"/>
    <n v="0"/>
  </r>
  <r>
    <x v="253"/>
    <x v="153"/>
    <s v="KN-01"/>
    <x v="2"/>
    <x v="1"/>
    <x v="0"/>
    <x v="0"/>
    <s v="C1193"/>
    <s v="Returning"/>
    <n v="2"/>
    <n v="58000"/>
    <n v="0.1"/>
    <n v="104400"/>
    <n v="104400"/>
    <n v="39000"/>
    <n v="39000"/>
    <n v="78000"/>
    <n v="26400"/>
    <s v="No"/>
    <s v="Grace"/>
    <s v="April"/>
    <n v="0"/>
  </r>
  <r>
    <x v="254"/>
    <x v="58"/>
    <s v="LG-02"/>
    <x v="1"/>
    <x v="1"/>
    <x v="0"/>
    <x v="7"/>
    <s v="C1127"/>
    <s v="New"/>
    <n v="5"/>
    <n v="24000"/>
    <n v="0.15"/>
    <n v="102000"/>
    <n v="102000"/>
    <n v="15000"/>
    <n v="15000"/>
    <n v="75000"/>
    <n v="27000"/>
    <s v="Yes"/>
    <s v="Kemi"/>
    <s v="May"/>
    <n v="1"/>
  </r>
  <r>
    <x v="255"/>
    <x v="65"/>
    <s v="KN-01"/>
    <x v="2"/>
    <x v="2"/>
    <x v="2"/>
    <x v="4"/>
    <s v="C1050"/>
    <s v="New"/>
    <n v="1"/>
    <n v="6500"/>
    <n v="0.05"/>
    <n v="6175"/>
    <n v="6175"/>
    <n v="2200"/>
    <n v="2200"/>
    <n v="2200"/>
    <n v="3975"/>
    <s v="No"/>
    <s v="Aisha"/>
    <s v="July"/>
    <n v="0"/>
  </r>
  <r>
    <x v="256"/>
    <x v="69"/>
    <s v="LG-01"/>
    <x v="1"/>
    <x v="1"/>
    <x v="0"/>
    <x v="0"/>
    <s v="C1149"/>
    <s v="Returning"/>
    <n v="1"/>
    <n v="58000"/>
    <n v="0.05"/>
    <n v="55100"/>
    <n v="55100"/>
    <n v="39000"/>
    <n v="39000"/>
    <n v="39000"/>
    <n v="16100"/>
    <s v="No"/>
    <s v="Bola"/>
    <s v="March"/>
    <n v="0"/>
  </r>
  <r>
    <x v="257"/>
    <x v="112"/>
    <s v="PH-01"/>
    <x v="4"/>
    <x v="0"/>
    <x v="0"/>
    <x v="5"/>
    <s v="C1155"/>
    <s v="New"/>
    <n v="4"/>
    <n v="42000"/>
    <n v="0.15"/>
    <n v="142800"/>
    <n v="142800"/>
    <n v="28000"/>
    <n v="28000"/>
    <n v="112000"/>
    <n v="30800"/>
    <s v="No"/>
    <s v="Aisha"/>
    <s v="July"/>
    <n v="0"/>
  </r>
  <r>
    <x v="258"/>
    <x v="65"/>
    <s v="AB-01"/>
    <x v="0"/>
    <x v="2"/>
    <x v="1"/>
    <x v="1"/>
    <s v="C1033"/>
    <s v="Returning"/>
    <n v="1"/>
    <n v="165000"/>
    <n v="0.25"/>
    <n v="136125"/>
    <n v="123750"/>
    <n v="112000"/>
    <n v="112000"/>
    <n v="112000"/>
    <n v="11750"/>
    <s v="Yes"/>
    <s v="Grace"/>
    <s v="July"/>
    <n v="1"/>
  </r>
  <r>
    <x v="259"/>
    <x v="95"/>
    <s v="PH-01"/>
    <x v="4"/>
    <x v="0"/>
    <x v="1"/>
    <x v="2"/>
    <s v="C1190"/>
    <s v="Returning"/>
    <n v="2"/>
    <n v="32000"/>
    <n v="0.15"/>
    <n v="54400"/>
    <n v="54400"/>
    <n v="19000"/>
    <n v="19000"/>
    <n v="38000"/>
    <n v="16400"/>
    <s v="No"/>
    <s v="Ibrahim"/>
    <s v="April"/>
    <n v="0"/>
  </r>
  <r>
    <x v="260"/>
    <x v="154"/>
    <s v="AB-02"/>
    <x v="0"/>
    <x v="2"/>
    <x v="1"/>
    <x v="3"/>
    <s v="C1146"/>
    <s v="New"/>
    <n v="4"/>
    <n v="26000"/>
    <n v="0"/>
    <n v="104000"/>
    <n v="104000"/>
    <n v="15000"/>
    <n v="15000"/>
    <n v="60000"/>
    <n v="44000"/>
    <s v="No"/>
    <s v="Chinedu"/>
    <s v="March"/>
    <n v="0"/>
  </r>
  <r>
    <x v="261"/>
    <x v="155"/>
    <s v="IB-01"/>
    <x v="3"/>
    <x v="1"/>
    <x v="0"/>
    <x v="7"/>
    <s v="C1044"/>
    <s v="New"/>
    <n v="4"/>
    <n v="24000"/>
    <n v="0.05"/>
    <n v="91200"/>
    <n v="91200"/>
    <n v="15000"/>
    <n v="15000"/>
    <n v="60000"/>
    <n v="31200"/>
    <s v="No"/>
    <s v="Bola"/>
    <s v="February"/>
    <n v="0"/>
  </r>
  <r>
    <x v="262"/>
    <x v="125"/>
    <s v="AB-02"/>
    <x v="0"/>
    <x v="2"/>
    <x v="2"/>
    <x v="6"/>
    <s v="C1032"/>
    <s v="New"/>
    <n v="5"/>
    <n v="9000"/>
    <n v="0.25"/>
    <n v="33750"/>
    <n v="33750"/>
    <n v="3500"/>
    <n v="3500"/>
    <n v="17500"/>
    <n v="16250"/>
    <s v="No"/>
    <s v="David"/>
    <s v="January"/>
    <n v="0"/>
  </r>
  <r>
    <x v="263"/>
    <x v="140"/>
    <s v="KN-01"/>
    <x v="2"/>
    <x v="2"/>
    <x v="0"/>
    <x v="5"/>
    <s v="C1058"/>
    <s v="Returning"/>
    <n v="1"/>
    <n v="42000"/>
    <n v="0.05"/>
    <n v="39900"/>
    <n v="39900"/>
    <n v="28000"/>
    <n v="28000"/>
    <n v="28000"/>
    <n v="11900"/>
    <s v="No"/>
    <s v="David"/>
    <s v="April"/>
    <n v="0"/>
  </r>
  <r>
    <x v="264"/>
    <x v="156"/>
    <s v="PH-01"/>
    <x v="4"/>
    <x v="2"/>
    <x v="1"/>
    <x v="2"/>
    <s v="C1087"/>
    <s v="Returning"/>
    <n v="2"/>
    <n v="32000"/>
    <n v="0"/>
    <n v="64000"/>
    <n v="64000"/>
    <n v="19000"/>
    <n v="19000"/>
    <n v="38000"/>
    <n v="26000"/>
    <s v="No"/>
    <s v="Chinedu"/>
    <s v="January"/>
    <n v="0"/>
  </r>
  <r>
    <x v="265"/>
    <x v="39"/>
    <s v="KN-01"/>
    <x v="2"/>
    <x v="0"/>
    <x v="0"/>
    <x v="7"/>
    <s v="C1055"/>
    <s v="New"/>
    <n v="4"/>
    <n v="24000"/>
    <n v="0"/>
    <n v="96000"/>
    <n v="96000"/>
    <n v="15000"/>
    <n v="15000"/>
    <n v="60000"/>
    <n v="36000"/>
    <s v="No"/>
    <s v="Ibrahim"/>
    <s v="June"/>
    <n v="0"/>
  </r>
  <r>
    <x v="266"/>
    <x v="157"/>
    <s v="PH-01"/>
    <x v="4"/>
    <x v="2"/>
    <x v="1"/>
    <x v="3"/>
    <s v="C1013"/>
    <s v="Returning"/>
    <n v="1"/>
    <n v="26000"/>
    <n v="0.05"/>
    <n v="24700"/>
    <n v="24700"/>
    <n v="15000"/>
    <n v="15000"/>
    <n v="15000"/>
    <n v="9700"/>
    <s v="No"/>
    <s v="Fatima"/>
    <s v="May"/>
    <n v="0"/>
  </r>
  <r>
    <x v="267"/>
    <x v="82"/>
    <s v="LG-02"/>
    <x v="1"/>
    <x v="1"/>
    <x v="0"/>
    <x v="0"/>
    <s v="C1078"/>
    <s v="Returning"/>
    <n v="2"/>
    <n v="58000"/>
    <n v="0"/>
    <n v="116000"/>
    <n v="116000"/>
    <n v="39000"/>
    <n v="39000"/>
    <n v="78000"/>
    <n v="38000"/>
    <s v="No"/>
    <s v="Ibrahim"/>
    <s v="March"/>
    <n v="0"/>
  </r>
  <r>
    <x v="268"/>
    <x v="158"/>
    <s v="AB-01"/>
    <x v="0"/>
    <x v="0"/>
    <x v="1"/>
    <x v="3"/>
    <s v="C1194"/>
    <s v="Returning"/>
    <n v="5"/>
    <n v="26000"/>
    <n v="0.15"/>
    <n v="110500"/>
    <n v="110500"/>
    <n v="15000"/>
    <n v="15000"/>
    <n v="75000"/>
    <n v="35500"/>
    <s v="No"/>
    <s v="Kemi"/>
    <s v="April"/>
    <n v="0"/>
  </r>
  <r>
    <x v="269"/>
    <x v="159"/>
    <s v="PH-01"/>
    <x v="4"/>
    <x v="1"/>
    <x v="2"/>
    <x v="8"/>
    <s v="C1182"/>
    <s v="Returning"/>
    <n v="4"/>
    <n v="28000"/>
    <n v="0"/>
    <n v="112000"/>
    <n v="112000"/>
    <n v="16000"/>
    <n v="16000"/>
    <n v="64000"/>
    <n v="48000"/>
    <s v="No"/>
    <s v="Grace"/>
    <s v="June"/>
    <n v="0"/>
  </r>
  <r>
    <x v="270"/>
    <x v="100"/>
    <s v="IB-01"/>
    <x v="3"/>
    <x v="1"/>
    <x v="1"/>
    <x v="1"/>
    <s v="C1149"/>
    <s v="New"/>
    <n v="1"/>
    <n v="165000"/>
    <n v="0"/>
    <n v="165000"/>
    <n v="165000"/>
    <n v="112000"/>
    <n v="112000"/>
    <n v="112000"/>
    <n v="53000"/>
    <s v="No"/>
    <s v="Chinedu"/>
    <s v="April"/>
    <n v="0"/>
  </r>
  <r>
    <x v="271"/>
    <x v="101"/>
    <s v="LG-02"/>
    <x v="1"/>
    <x v="2"/>
    <x v="0"/>
    <x v="5"/>
    <s v="C1078"/>
    <s v="Returning"/>
    <n v="1"/>
    <n v="42000"/>
    <n v="0"/>
    <n v="42000"/>
    <n v="42000"/>
    <n v="28000"/>
    <n v="28000"/>
    <n v="28000"/>
    <n v="14000"/>
    <s v="No"/>
    <s v="Fatima"/>
    <s v="March"/>
    <n v="0"/>
  </r>
  <r>
    <x v="272"/>
    <x v="34"/>
    <s v="IB-01"/>
    <x v="3"/>
    <x v="1"/>
    <x v="1"/>
    <x v="1"/>
    <s v="C1053"/>
    <s v="New"/>
    <n v="2"/>
    <n v="165000"/>
    <n v="0.05"/>
    <n v="313500"/>
    <n v="313500"/>
    <n v="112000"/>
    <n v="112000"/>
    <n v="224000"/>
    <n v="89500"/>
    <s v="No"/>
    <s v="Bola"/>
    <s v="January"/>
    <n v="0"/>
  </r>
  <r>
    <x v="273"/>
    <x v="90"/>
    <s v="PH-01"/>
    <x v="4"/>
    <x v="1"/>
    <x v="2"/>
    <x v="8"/>
    <s v="C1091"/>
    <s v="Returning"/>
    <n v="3"/>
    <n v="28000"/>
    <n v="0"/>
    <n v="84000"/>
    <n v="84000"/>
    <n v="16000"/>
    <n v="16000"/>
    <n v="48000"/>
    <n v="36000"/>
    <s v="No"/>
    <s v="Fatima"/>
    <s v="August"/>
    <n v="0"/>
  </r>
  <r>
    <x v="274"/>
    <x v="26"/>
    <s v="LG-01"/>
    <x v="1"/>
    <x v="1"/>
    <x v="1"/>
    <x v="3"/>
    <s v="C1135"/>
    <s v="New"/>
    <n v="22"/>
    <n v="26000"/>
    <n v="0.05"/>
    <n v="543400"/>
    <n v="543400"/>
    <n v="15000"/>
    <n v="15000"/>
    <n v="330000"/>
    <n v="213400"/>
    <s v="No"/>
    <s v="David"/>
    <s v="May"/>
    <n v="0"/>
  </r>
  <r>
    <x v="275"/>
    <x v="13"/>
    <s v="LG-02"/>
    <x v="1"/>
    <x v="1"/>
    <x v="0"/>
    <x v="7"/>
    <s v="C1016"/>
    <s v="New"/>
    <n v="2"/>
    <n v="24000"/>
    <n v="0.1"/>
    <n v="43200"/>
    <n v="43200"/>
    <n v="15000"/>
    <n v="15000"/>
    <n v="30000"/>
    <n v="13200"/>
    <s v="No"/>
    <s v="David"/>
    <s v="June"/>
    <n v="0"/>
  </r>
  <r>
    <x v="276"/>
    <x v="150"/>
    <s v="LG-01"/>
    <x v="1"/>
    <x v="2"/>
    <x v="1"/>
    <x v="3"/>
    <s v="C1038"/>
    <s v="New"/>
    <n v="22"/>
    <n v="26000"/>
    <n v="0"/>
    <n v="572000"/>
    <n v="572000"/>
    <n v="15000"/>
    <n v="15000"/>
    <n v="330000"/>
    <n v="242000"/>
    <s v="No"/>
    <s v="Grace"/>
    <s v="July"/>
    <n v="0"/>
  </r>
  <r>
    <x v="277"/>
    <x v="10"/>
    <s v="LG-01"/>
    <x v="1"/>
    <x v="2"/>
    <x v="1"/>
    <x v="3"/>
    <s v="C1144"/>
    <s v="New"/>
    <n v="3"/>
    <n v="26000"/>
    <n v="0.1"/>
    <n v="56160"/>
    <n v="70200"/>
    <n v="15000"/>
    <n v="15000"/>
    <n v="45000"/>
    <n v="25200"/>
    <s v="No"/>
    <s v="Fatima"/>
    <s v="June"/>
    <n v="0"/>
  </r>
  <r>
    <x v="278"/>
    <x v="75"/>
    <s v="AB-02"/>
    <x v="0"/>
    <x v="1"/>
    <x v="2"/>
    <x v="4"/>
    <s v="C1082"/>
    <s v="Returning"/>
    <n v="4"/>
    <n v="6500"/>
    <n v="0.15"/>
    <n v="22100"/>
    <n v="22100"/>
    <n v="2200"/>
    <n v="2200"/>
    <n v="8800"/>
    <n v="13300"/>
    <s v="No"/>
    <s v="Ibrahim"/>
    <s v="February"/>
    <n v="0"/>
  </r>
  <r>
    <x v="279"/>
    <x v="159"/>
    <s v="LG-01"/>
    <x v="1"/>
    <x v="0"/>
    <x v="1"/>
    <x v="2"/>
    <s v="C1041"/>
    <s v="Returning"/>
    <n v="1"/>
    <n v="32000"/>
    <n v="0.05"/>
    <n v="30400"/>
    <n v="30400"/>
    <n v="19000"/>
    <n v="19000"/>
    <n v="19000"/>
    <n v="11400"/>
    <s v="No"/>
    <s v="Grace"/>
    <s v="June"/>
    <n v="0"/>
  </r>
  <r>
    <x v="280"/>
    <x v="31"/>
    <s v="LG-01"/>
    <x v="1"/>
    <x v="0"/>
    <x v="1"/>
    <x v="3"/>
    <s v="C1035"/>
    <s v="New"/>
    <n v="1"/>
    <n v="26000"/>
    <n v="0.15"/>
    <n v="22100"/>
    <n v="22100"/>
    <n v="15000"/>
    <n v="15000"/>
    <n v="15000"/>
    <n v="7100"/>
    <s v="No"/>
    <s v="Bola"/>
    <s v="May"/>
    <n v="0"/>
  </r>
  <r>
    <x v="281"/>
    <x v="64"/>
    <s v="LG-01"/>
    <x v="1"/>
    <x v="2"/>
    <x v="1"/>
    <x v="3"/>
    <s v="C1159"/>
    <s v="Returning"/>
    <n v="2"/>
    <n v="26000"/>
    <n v="0.05"/>
    <n v="49400"/>
    <n v="49400"/>
    <n v="15000"/>
    <n v="15000"/>
    <n v="30000"/>
    <n v="19400"/>
    <s v="No"/>
    <s v="Kemi"/>
    <s v="May"/>
    <n v="0"/>
  </r>
  <r>
    <x v="282"/>
    <x v="90"/>
    <s v="LG-01"/>
    <x v="1"/>
    <x v="2"/>
    <x v="0"/>
    <x v="0"/>
    <s v="C1108"/>
    <s v="Returning"/>
    <n v="1"/>
    <n v="58000"/>
    <n v="0.05"/>
    <n v="55100"/>
    <n v="55100"/>
    <n v="39000"/>
    <n v="39000"/>
    <n v="39000"/>
    <n v="16100"/>
    <s v="No"/>
    <s v="Bola"/>
    <s v="August"/>
    <n v="0"/>
  </r>
  <r>
    <x v="283"/>
    <x v="160"/>
    <s v="AB-02"/>
    <x v="0"/>
    <x v="2"/>
    <x v="0"/>
    <x v="7"/>
    <s v="C1115"/>
    <s v="New"/>
    <n v="4"/>
    <n v="24000"/>
    <n v="0.1"/>
    <n v="95040"/>
    <n v="86400"/>
    <n v="15000"/>
    <n v="15000"/>
    <n v="60000"/>
    <n v="26400"/>
    <s v="No"/>
    <s v="Fatima"/>
    <s v="August"/>
    <n v="0"/>
  </r>
  <r>
    <x v="284"/>
    <x v="93"/>
    <s v="KN-01"/>
    <x v="2"/>
    <x v="1"/>
    <x v="0"/>
    <x v="7"/>
    <s v="C1172"/>
    <s v="Returning"/>
    <n v="1"/>
    <n v="24000"/>
    <n v="0.05"/>
    <n v="22800"/>
    <n v="22800"/>
    <n v="15000"/>
    <n v="15000"/>
    <n v="15000"/>
    <n v="7800"/>
    <s v="No"/>
    <s v="David"/>
    <s v="July"/>
    <n v="0"/>
  </r>
  <r>
    <x v="285"/>
    <x v="161"/>
    <s v="KN-01"/>
    <x v="2"/>
    <x v="1"/>
    <x v="2"/>
    <x v="6"/>
    <s v="C1130"/>
    <s v="Returning"/>
    <n v="1"/>
    <n v="9000"/>
    <n v="0.1"/>
    <n v="8100"/>
    <n v="8100"/>
    <n v="3500"/>
    <n v="3500"/>
    <n v="3500"/>
    <n v="4600"/>
    <s v="No"/>
    <s v="Aisha"/>
    <s v="March"/>
    <n v="0"/>
  </r>
  <r>
    <x v="286"/>
    <x v="133"/>
    <s v="PH-01"/>
    <x v="4"/>
    <x v="1"/>
    <x v="1"/>
    <x v="2"/>
    <s v="C1114"/>
    <s v="New"/>
    <n v="3"/>
    <n v="32000"/>
    <n v="0.05"/>
    <n v="91200"/>
    <n v="91200"/>
    <n v="19000"/>
    <n v="19000"/>
    <n v="57000"/>
    <n v="34200"/>
    <s v="No"/>
    <s v="Grace"/>
    <s v="February"/>
    <n v="0"/>
  </r>
  <r>
    <x v="287"/>
    <x v="81"/>
    <s v="IB-01"/>
    <x v="3"/>
    <x v="2"/>
    <x v="1"/>
    <x v="3"/>
    <s v="C1062"/>
    <s v="Returning"/>
    <n v="1"/>
    <n v="26000"/>
    <n v="0.05"/>
    <n v="24700"/>
    <n v="24700"/>
    <n v="15000"/>
    <n v="15000"/>
    <n v="15000"/>
    <n v="9700"/>
    <s v="No"/>
    <s v="Chinedu"/>
    <s v="June"/>
    <n v="0"/>
  </r>
  <r>
    <x v="288"/>
    <x v="53"/>
    <s v="LG-01"/>
    <x v="1"/>
    <x v="2"/>
    <x v="1"/>
    <x v="2"/>
    <s v="C1057"/>
    <s v="New"/>
    <n v="3"/>
    <n v="32000"/>
    <n v="0.1"/>
    <n v="86400"/>
    <n v="86400"/>
    <n v="19000"/>
    <n v="19000"/>
    <n v="57000"/>
    <n v="29400"/>
    <s v="No"/>
    <s v="David"/>
    <s v="July"/>
    <n v="0"/>
  </r>
  <r>
    <x v="289"/>
    <x v="35"/>
    <s v="LG-01"/>
    <x v="1"/>
    <x v="2"/>
    <x v="1"/>
    <x v="2"/>
    <s v="C1083"/>
    <s v="Returning"/>
    <n v="5"/>
    <n v="32000"/>
    <n v="0.15"/>
    <n v="136000"/>
    <n v="136000"/>
    <n v="19000"/>
    <n v="19000"/>
    <n v="95000"/>
    <n v="41000"/>
    <s v="No"/>
    <s v="Ibrahim"/>
    <s v="April"/>
    <n v="0"/>
  </r>
  <r>
    <x v="290"/>
    <x v="120"/>
    <s v="IB-01"/>
    <x v="3"/>
    <x v="2"/>
    <x v="1"/>
    <x v="2"/>
    <s v="C1073"/>
    <s v="Returning"/>
    <n v="1"/>
    <n v="32000"/>
    <n v="0.1"/>
    <n v="28800"/>
    <n v="28800"/>
    <n v="19000"/>
    <n v="19000"/>
    <n v="19000"/>
    <n v="9800"/>
    <s v="No"/>
    <s v="Fatima"/>
    <s v="March"/>
    <n v="0"/>
  </r>
  <r>
    <x v="291"/>
    <x v="162"/>
    <s v="LG-02"/>
    <x v="1"/>
    <x v="0"/>
    <x v="1"/>
    <x v="1"/>
    <s v="C1138"/>
    <s v="Returning"/>
    <n v="1"/>
    <n v="165000"/>
    <n v="0.15"/>
    <n v="140250"/>
    <n v="140250"/>
    <n v="112000"/>
    <n v="112000"/>
    <n v="112000"/>
    <n v="28250"/>
    <s v="No"/>
    <s v="Ibrahim"/>
    <s v="April"/>
    <n v="0"/>
  </r>
  <r>
    <x v="292"/>
    <x v="74"/>
    <s v="PH-01"/>
    <x v="4"/>
    <x v="0"/>
    <x v="2"/>
    <x v="8"/>
    <s v="C1150"/>
    <s v="New"/>
    <n v="2"/>
    <n v="28000"/>
    <n v="0"/>
    <n v="56000"/>
    <n v="56000"/>
    <n v="16000"/>
    <n v="16000"/>
    <n v="32000"/>
    <n v="24000"/>
    <s v="No"/>
    <s v="Bola"/>
    <s v="April"/>
    <n v="0"/>
  </r>
  <r>
    <x v="293"/>
    <x v="72"/>
    <s v="IB-01"/>
    <x v="3"/>
    <x v="2"/>
    <x v="1"/>
    <x v="3"/>
    <s v="C1041"/>
    <s v="New"/>
    <n v="3"/>
    <n v="26000"/>
    <n v="0.1"/>
    <n v="63180"/>
    <n v="70200"/>
    <n v="15000"/>
    <n v="15000"/>
    <n v="45000"/>
    <n v="25200"/>
    <s v="No"/>
    <s v="Fatima"/>
    <s v="July"/>
    <n v="0"/>
  </r>
  <r>
    <x v="294"/>
    <x v="80"/>
    <s v="IB-01"/>
    <x v="3"/>
    <x v="0"/>
    <x v="1"/>
    <x v="2"/>
    <s v="C1010"/>
    <s v="New"/>
    <n v="1"/>
    <n v="32000"/>
    <n v="0.15"/>
    <n v="27200"/>
    <n v="27200"/>
    <n v="19000"/>
    <n v="19000"/>
    <n v="19000"/>
    <n v="8200"/>
    <s v="Yes"/>
    <s v="Kemi"/>
    <s v="February"/>
    <n v="1"/>
  </r>
  <r>
    <x v="295"/>
    <x v="163"/>
    <s v="IB-01"/>
    <x v="3"/>
    <x v="0"/>
    <x v="1"/>
    <x v="2"/>
    <s v="C1170"/>
    <s v="New"/>
    <n v="2"/>
    <n v="32000"/>
    <n v="0.05"/>
    <n v="72960"/>
    <n v="60800"/>
    <n v="0"/>
    <n v="19000"/>
    <n v="38000"/>
    <n v="22800"/>
    <s v="Yes"/>
    <s v="Bola"/>
    <s v="April"/>
    <n v="1"/>
  </r>
  <r>
    <x v="296"/>
    <x v="106"/>
    <s v="IB-01"/>
    <x v="3"/>
    <x v="1"/>
    <x v="0"/>
    <x v="0"/>
    <s v="C1082"/>
    <s v="New"/>
    <n v="1"/>
    <n v="58000"/>
    <n v="0"/>
    <n v="58000"/>
    <n v="58000"/>
    <n v="39000"/>
    <n v="39000"/>
    <n v="39000"/>
    <n v="19000"/>
    <s v="No"/>
    <s v="Chinedu"/>
    <s v="January"/>
    <n v="0"/>
  </r>
  <r>
    <x v="297"/>
    <x v="144"/>
    <s v="LG-02"/>
    <x v="1"/>
    <x v="1"/>
    <x v="1"/>
    <x v="3"/>
    <s v="C1162"/>
    <s v="Returning"/>
    <n v="4"/>
    <n v="26000"/>
    <n v="0.1"/>
    <n v="93600"/>
    <n v="93600"/>
    <n v="15000"/>
    <n v="15000"/>
    <n v="60000"/>
    <n v="33600"/>
    <s v="No"/>
    <s v="Fatima"/>
    <s v="February"/>
    <n v="0"/>
  </r>
  <r>
    <x v="298"/>
    <x v="28"/>
    <s v="LG-01"/>
    <x v="1"/>
    <x v="2"/>
    <x v="2"/>
    <x v="8"/>
    <s v="C1110"/>
    <s v="Returning"/>
    <n v="2"/>
    <n v="28000"/>
    <n v="0.1"/>
    <n v="50400"/>
    <n v="50400"/>
    <n v="16000"/>
    <n v="16000"/>
    <n v="32000"/>
    <n v="18400"/>
    <s v="No"/>
    <s v="Kemi"/>
    <s v="July"/>
    <n v="0"/>
  </r>
  <r>
    <x v="299"/>
    <x v="8"/>
    <s v="PH-01"/>
    <x v="4"/>
    <x v="0"/>
    <x v="2"/>
    <x v="4"/>
    <s v="C1033"/>
    <s v="New"/>
    <n v="4"/>
    <n v="6500"/>
    <n v="0.1"/>
    <n v="23400"/>
    <n v="23400"/>
    <n v="2200"/>
    <n v="2200"/>
    <n v="8800"/>
    <n v="14600"/>
    <s v="No"/>
    <s v="Kemi"/>
    <s v="January"/>
    <n v="0"/>
  </r>
  <r>
    <x v="300"/>
    <x v="154"/>
    <s v="LG-02"/>
    <x v="1"/>
    <x v="2"/>
    <x v="1"/>
    <x v="3"/>
    <s v="C1169"/>
    <s v="Returning"/>
    <n v="5"/>
    <n v="26000"/>
    <n v="0.05"/>
    <n v="98800"/>
    <n v="123500"/>
    <n v="15000"/>
    <n v="15000"/>
    <n v="75000"/>
    <n v="48500"/>
    <s v="Yes"/>
    <s v="Aisha"/>
    <s v="March"/>
    <n v="1"/>
  </r>
  <r>
    <x v="301"/>
    <x v="92"/>
    <s v="LG-02"/>
    <x v="1"/>
    <x v="2"/>
    <x v="2"/>
    <x v="8"/>
    <s v="C1179"/>
    <s v="Returning"/>
    <n v="4"/>
    <n v="28000"/>
    <n v="0"/>
    <n v="112000"/>
    <n v="112000"/>
    <n v="16000"/>
    <n v="16000"/>
    <n v="64000"/>
    <n v="48000"/>
    <s v="No"/>
    <s v="Bola"/>
    <s v="February"/>
    <n v="0"/>
  </r>
  <r>
    <x v="302"/>
    <x v="164"/>
    <s v="IB-01"/>
    <x v="3"/>
    <x v="2"/>
    <x v="2"/>
    <x v="6"/>
    <s v="C1032"/>
    <s v="Returning"/>
    <n v="2"/>
    <n v="9000"/>
    <n v="0.1"/>
    <n v="16200"/>
    <n v="16200"/>
    <n v="3500"/>
    <n v="3500"/>
    <n v="7000"/>
    <n v="9200"/>
    <s v="No"/>
    <s v="Ibrahim"/>
    <s v="February"/>
    <n v="0"/>
  </r>
  <r>
    <x v="303"/>
    <x v="112"/>
    <s v="KN-01"/>
    <x v="2"/>
    <x v="0"/>
    <x v="0"/>
    <x v="0"/>
    <s v="C1090"/>
    <s v="New"/>
    <n v="5"/>
    <n v="58000"/>
    <n v="0.1"/>
    <n v="261000"/>
    <n v="261000"/>
    <n v="39000"/>
    <n v="39000"/>
    <n v="195000"/>
    <n v="66000"/>
    <s v="No"/>
    <s v="Bola"/>
    <s v="July"/>
    <n v="0"/>
  </r>
  <r>
    <x v="304"/>
    <x v="16"/>
    <s v="LG-01"/>
    <x v="1"/>
    <x v="1"/>
    <x v="1"/>
    <x v="2"/>
    <s v="C1105"/>
    <s v="Returning"/>
    <n v="2"/>
    <n v="32000"/>
    <n v="0.05"/>
    <n v="60800"/>
    <n v="60800"/>
    <n v="19000"/>
    <n v="19000"/>
    <n v="38000"/>
    <n v="22800"/>
    <s v="No"/>
    <s v="Grace"/>
    <s v="January"/>
    <n v="0"/>
  </r>
  <r>
    <x v="305"/>
    <x v="122"/>
    <s v="PH-01"/>
    <x v="4"/>
    <x v="2"/>
    <x v="2"/>
    <x v="6"/>
    <s v="C1162"/>
    <s v="New"/>
    <n v="1"/>
    <n v="9000"/>
    <n v="0.15"/>
    <n v="7650"/>
    <n v="7650"/>
    <n v="3500"/>
    <n v="3500"/>
    <n v="3500"/>
    <n v="4150"/>
    <s v="No"/>
    <s v="Aisha"/>
    <s v="March"/>
    <n v="0"/>
  </r>
  <r>
    <x v="306"/>
    <x v="91"/>
    <s v="IB-01"/>
    <x v="3"/>
    <x v="1"/>
    <x v="1"/>
    <x v="3"/>
    <s v="C1099"/>
    <s v="New"/>
    <n v="3"/>
    <n v="26000"/>
    <n v="0"/>
    <n v="78000"/>
    <n v="78000"/>
    <n v="15000"/>
    <n v="15000"/>
    <n v="45000"/>
    <n v="33000"/>
    <s v="No"/>
    <s v="Ibrahim"/>
    <s v="June"/>
    <n v="0"/>
  </r>
  <r>
    <x v="307"/>
    <x v="5"/>
    <s v="LG-02"/>
    <x v="1"/>
    <x v="1"/>
    <x v="0"/>
    <x v="5"/>
    <s v="C1088"/>
    <s v="Returning"/>
    <n v="1"/>
    <n v="42000"/>
    <n v="0.05"/>
    <n v="39900"/>
    <n v="39900"/>
    <n v="28000"/>
    <n v="28000"/>
    <n v="28000"/>
    <n v="11900"/>
    <s v="No"/>
    <s v="Aisha"/>
    <s v="August"/>
    <n v="0"/>
  </r>
  <r>
    <x v="308"/>
    <x v="165"/>
    <s v="LG-02"/>
    <x v="1"/>
    <x v="2"/>
    <x v="2"/>
    <x v="4"/>
    <s v="C1093"/>
    <s v="New"/>
    <n v="3"/>
    <n v="6500"/>
    <n v="0.15"/>
    <n v="16575"/>
    <n v="16575"/>
    <n v="2200"/>
    <n v="2200"/>
    <n v="6600"/>
    <n v="9975"/>
    <s v="No"/>
    <s v="Ibrahim"/>
    <s v="May"/>
    <n v="0"/>
  </r>
  <r>
    <x v="309"/>
    <x v="69"/>
    <s v="LG-01"/>
    <x v="1"/>
    <x v="1"/>
    <x v="1"/>
    <x v="2"/>
    <s v="C1022"/>
    <s v="New"/>
    <n v="4"/>
    <n v="32000"/>
    <n v="0.1"/>
    <n v="115200"/>
    <n v="115200"/>
    <n v="19000"/>
    <n v="19000"/>
    <n v="76000"/>
    <n v="39200"/>
    <s v="No"/>
    <s v="Ibrahim"/>
    <s v="March"/>
    <n v="0"/>
  </r>
  <r>
    <x v="310"/>
    <x v="166"/>
    <s v="AB-01"/>
    <x v="0"/>
    <x v="1"/>
    <x v="2"/>
    <x v="4"/>
    <s v="C1143"/>
    <s v="Returning"/>
    <n v="1"/>
    <n v="6500"/>
    <n v="0.05"/>
    <n v="6175"/>
    <n v="6175"/>
    <n v="0"/>
    <n v="2200"/>
    <n v="2200"/>
    <n v="3975"/>
    <s v="No"/>
    <s v="Aisha"/>
    <s v="June"/>
    <n v="0"/>
  </r>
  <r>
    <x v="311"/>
    <x v="167"/>
    <s v="LG-02"/>
    <x v="1"/>
    <x v="2"/>
    <x v="1"/>
    <x v="2"/>
    <s v="C1007"/>
    <s v="New"/>
    <n v="3"/>
    <n v="32000"/>
    <n v="0.15"/>
    <n v="81600"/>
    <n v="81600"/>
    <n v="19000"/>
    <n v="19000"/>
    <n v="57000"/>
    <n v="24600"/>
    <s v="No"/>
    <s v="Kemi"/>
    <s v="February"/>
    <n v="0"/>
  </r>
  <r>
    <x v="312"/>
    <x v="168"/>
    <s v="LG-01"/>
    <x v="1"/>
    <x v="2"/>
    <x v="2"/>
    <x v="4"/>
    <s v="C1078"/>
    <s v="Returning"/>
    <n v="1"/>
    <n v="6500"/>
    <n v="0.05"/>
    <n v="6175"/>
    <n v="6175"/>
    <n v="2200"/>
    <n v="2200"/>
    <n v="2200"/>
    <n v="3975"/>
    <s v="No"/>
    <s v="David"/>
    <s v="August"/>
    <n v="0"/>
  </r>
  <r>
    <x v="313"/>
    <x v="114"/>
    <s v="LG-02"/>
    <x v="1"/>
    <x v="2"/>
    <x v="1"/>
    <x v="1"/>
    <s v="C1167"/>
    <s v="Returning"/>
    <n v="1"/>
    <n v="165000"/>
    <n v="0.1"/>
    <n v="148500"/>
    <n v="148500"/>
    <n v="112000"/>
    <n v="112000"/>
    <n v="112000"/>
    <n v="36500"/>
    <s v="No"/>
    <s v="Grace"/>
    <s v="March"/>
    <n v="0"/>
  </r>
  <r>
    <x v="314"/>
    <x v="169"/>
    <s v="LG-02"/>
    <x v="1"/>
    <x v="0"/>
    <x v="1"/>
    <x v="3"/>
    <s v="C1178"/>
    <s v="Returning"/>
    <n v="1"/>
    <n v="26000"/>
    <n v="0"/>
    <n v="26000"/>
    <n v="26000"/>
    <n v="15000"/>
    <n v="15000"/>
    <n v="15000"/>
    <n v="11000"/>
    <s v="No"/>
    <s v="Chinedu"/>
    <s v="April"/>
    <n v="0"/>
  </r>
  <r>
    <x v="315"/>
    <x v="165"/>
    <s v="KN-01"/>
    <x v="2"/>
    <x v="1"/>
    <x v="1"/>
    <x v="2"/>
    <s v="C1100"/>
    <s v="New"/>
    <n v="5"/>
    <n v="32000"/>
    <n v="0"/>
    <n v="160000"/>
    <n v="160000"/>
    <n v="19000"/>
    <n v="19000"/>
    <n v="95000"/>
    <n v="65000"/>
    <s v="No"/>
    <s v="Chinedu"/>
    <s v="May"/>
    <n v="0"/>
  </r>
  <r>
    <x v="316"/>
    <x v="145"/>
    <s v="IB-01"/>
    <x v="3"/>
    <x v="2"/>
    <x v="0"/>
    <x v="7"/>
    <s v="C1099"/>
    <s v="Returning"/>
    <n v="1"/>
    <n v="24000"/>
    <n v="0.05"/>
    <n v="22800"/>
    <n v="22800"/>
    <n v="15000"/>
    <n v="15000"/>
    <n v="15000"/>
    <n v="7800"/>
    <s v="No"/>
    <s v="Kemi"/>
    <s v="July"/>
    <n v="0"/>
  </r>
  <r>
    <x v="317"/>
    <x v="111"/>
    <s v="KN-01"/>
    <x v="2"/>
    <x v="2"/>
    <x v="0"/>
    <x v="0"/>
    <s v="C1070"/>
    <s v="Returning"/>
    <n v="2"/>
    <n v="58000"/>
    <n v="0.05"/>
    <n v="110200"/>
    <n v="110200"/>
    <n v="39000"/>
    <n v="39000"/>
    <n v="78000"/>
    <n v="32200"/>
    <s v="No"/>
    <s v="Grace"/>
    <s v="June"/>
    <n v="0"/>
  </r>
  <r>
    <x v="318"/>
    <x v="170"/>
    <s v="AB-02"/>
    <x v="0"/>
    <x v="2"/>
    <x v="2"/>
    <x v="8"/>
    <s v="C1108"/>
    <s v="New"/>
    <n v="4"/>
    <n v="28000"/>
    <n v="0.15"/>
    <n v="95200"/>
    <n v="95200"/>
    <n v="16000"/>
    <n v="16000"/>
    <n v="64000"/>
    <n v="31200"/>
    <s v="No"/>
    <s v="David"/>
    <s v="January"/>
    <n v="0"/>
  </r>
  <r>
    <x v="319"/>
    <x v="171"/>
    <s v="AB-01"/>
    <x v="0"/>
    <x v="2"/>
    <x v="1"/>
    <x v="2"/>
    <s v="C1123"/>
    <s v="Returning"/>
    <n v="2"/>
    <n v="32000"/>
    <n v="0.2"/>
    <n v="51200"/>
    <n v="51200"/>
    <n v="19000"/>
    <n v="19000"/>
    <n v="38000"/>
    <n v="13200"/>
    <s v="No"/>
    <s v="Fatima"/>
    <s v="March"/>
    <n v="0"/>
  </r>
  <r>
    <x v="320"/>
    <x v="149"/>
    <s v="LG-01"/>
    <x v="1"/>
    <x v="2"/>
    <x v="1"/>
    <x v="1"/>
    <s v="C1106"/>
    <s v="Returning"/>
    <n v="2"/>
    <n v="165000"/>
    <n v="0"/>
    <n v="330000"/>
    <n v="330000"/>
    <n v="112000"/>
    <n v="112000"/>
    <n v="224000"/>
    <n v="106000"/>
    <s v="No"/>
    <s v="Kemi"/>
    <s v="March"/>
    <n v="0"/>
  </r>
  <r>
    <x v="321"/>
    <x v="103"/>
    <s v="LG-02"/>
    <x v="1"/>
    <x v="1"/>
    <x v="0"/>
    <x v="7"/>
    <s v="C1176"/>
    <s v="New"/>
    <n v="1"/>
    <n v="24000"/>
    <n v="0.1"/>
    <n v="21600"/>
    <n v="21600"/>
    <n v="15000"/>
    <n v="15000"/>
    <n v="15000"/>
    <n v="6600"/>
    <s v="No"/>
    <s v="Grace"/>
    <s v="June"/>
    <n v="0"/>
  </r>
  <r>
    <x v="322"/>
    <x v="2"/>
    <s v="IB-01"/>
    <x v="3"/>
    <x v="0"/>
    <x v="1"/>
    <x v="1"/>
    <s v="C1166"/>
    <s v="Returning"/>
    <n v="2"/>
    <n v="165000"/>
    <n v="0"/>
    <n v="330000"/>
    <n v="330000"/>
    <n v="112000"/>
    <n v="112000"/>
    <n v="224000"/>
    <n v="106000"/>
    <s v="No"/>
    <s v="Chinedu"/>
    <s v="February"/>
    <n v="0"/>
  </r>
  <r>
    <x v="323"/>
    <x v="106"/>
    <s v="IB-01"/>
    <x v="3"/>
    <x v="2"/>
    <x v="1"/>
    <x v="1"/>
    <s v="C1027"/>
    <s v="New"/>
    <n v="3"/>
    <n v="165000"/>
    <n v="0.1"/>
    <n v="445500"/>
    <n v="445500"/>
    <n v="112000"/>
    <n v="112000"/>
    <n v="336000"/>
    <n v="109500"/>
    <s v="No"/>
    <s v="David"/>
    <s v="January"/>
    <n v="0"/>
  </r>
  <r>
    <x v="324"/>
    <x v="50"/>
    <s v="KN-01"/>
    <x v="2"/>
    <x v="0"/>
    <x v="0"/>
    <x v="5"/>
    <s v="C1120"/>
    <s v="Returning"/>
    <n v="3"/>
    <n v="42000"/>
    <n v="0.05"/>
    <n v="119700"/>
    <n v="119700"/>
    <n v="28000"/>
    <n v="28000"/>
    <n v="84000"/>
    <n v="35700"/>
    <s v="No"/>
    <s v="Chinedu"/>
    <s v="August"/>
    <n v="0"/>
  </r>
  <r>
    <x v="325"/>
    <x v="132"/>
    <s v="IB-01"/>
    <x v="3"/>
    <x v="1"/>
    <x v="1"/>
    <x v="2"/>
    <s v="C1064"/>
    <s v="Returning"/>
    <n v="5"/>
    <n v="32000"/>
    <n v="0.05"/>
    <n v="152000"/>
    <n v="152000"/>
    <n v="19000"/>
    <n v="19000"/>
    <n v="95000"/>
    <n v="57000"/>
    <s v="No"/>
    <s v="Grace"/>
    <s v="May"/>
    <n v="0"/>
  </r>
  <r>
    <x v="326"/>
    <x v="17"/>
    <s v="LG-02"/>
    <x v="1"/>
    <x v="2"/>
    <x v="1"/>
    <x v="3"/>
    <s v="C1123"/>
    <s v="New"/>
    <n v="1"/>
    <n v="26000"/>
    <n v="0.1"/>
    <n v="23400"/>
    <n v="23400"/>
    <n v="15000"/>
    <n v="15000"/>
    <n v="15000"/>
    <n v="8400"/>
    <s v="No"/>
    <s v="Kemi"/>
    <s v="April"/>
    <n v="0"/>
  </r>
  <r>
    <x v="327"/>
    <x v="116"/>
    <s v="KN-01"/>
    <x v="2"/>
    <x v="0"/>
    <x v="0"/>
    <x v="5"/>
    <s v="C1079"/>
    <s v="Returning"/>
    <n v="1"/>
    <n v="42000"/>
    <n v="0.05"/>
    <n v="39900"/>
    <n v="39900"/>
    <n v="28000"/>
    <n v="28000"/>
    <n v="28000"/>
    <n v="11900"/>
    <s v="No"/>
    <s v="Grace"/>
    <s v="May"/>
    <n v="0"/>
  </r>
  <r>
    <x v="328"/>
    <x v="141"/>
    <s v="IB-01"/>
    <x v="3"/>
    <x v="0"/>
    <x v="1"/>
    <x v="2"/>
    <s v="C1143"/>
    <s v="Returning"/>
    <n v="2"/>
    <n v="32000"/>
    <n v="0"/>
    <n v="64000"/>
    <n v="64000"/>
    <n v="19000"/>
    <n v="19000"/>
    <n v="38000"/>
    <n v="26000"/>
    <s v="Yes"/>
    <s v="Fatima"/>
    <s v="January"/>
    <n v="1"/>
  </r>
  <r>
    <x v="329"/>
    <x v="12"/>
    <s v="LG-02"/>
    <x v="1"/>
    <x v="2"/>
    <x v="0"/>
    <x v="0"/>
    <s v="C1034"/>
    <s v="New"/>
    <n v="2"/>
    <n v="58000"/>
    <n v="0.1"/>
    <n v="104400"/>
    <n v="104400"/>
    <n v="39000"/>
    <n v="39000"/>
    <n v="78000"/>
    <n v="26400"/>
    <s v="No"/>
    <s v="David"/>
    <s v="May"/>
    <n v="0"/>
  </r>
  <r>
    <x v="330"/>
    <x v="172"/>
    <s v="KN-01"/>
    <x v="2"/>
    <x v="1"/>
    <x v="2"/>
    <x v="6"/>
    <s v="C1001"/>
    <s v="Returning"/>
    <n v="1"/>
    <n v="9000"/>
    <n v="0.05"/>
    <n v="8550"/>
    <n v="8550"/>
    <n v="0"/>
    <n v="3500"/>
    <n v="3500"/>
    <n v="5050"/>
    <s v="No"/>
    <s v="Chinedu"/>
    <s v="February"/>
    <n v="0"/>
  </r>
  <r>
    <x v="331"/>
    <x v="101"/>
    <s v="AB-01"/>
    <x v="0"/>
    <x v="2"/>
    <x v="1"/>
    <x v="2"/>
    <s v="C1024"/>
    <s v="New"/>
    <n v="1"/>
    <n v="32000"/>
    <n v="0.05"/>
    <n v="30400"/>
    <n v="30400"/>
    <n v="19000"/>
    <n v="19000"/>
    <n v="19000"/>
    <n v="11400"/>
    <s v="No"/>
    <s v="David"/>
    <s v="March"/>
    <n v="0"/>
  </r>
  <r>
    <x v="332"/>
    <x v="23"/>
    <s v="AB-01"/>
    <x v="0"/>
    <x v="1"/>
    <x v="1"/>
    <x v="2"/>
    <s v="C1174"/>
    <s v="New"/>
    <n v="5"/>
    <n v="32000"/>
    <n v="0.1"/>
    <n v="144000"/>
    <n v="144000"/>
    <n v="19000"/>
    <n v="19000"/>
    <n v="95000"/>
    <n v="49000"/>
    <s v="No"/>
    <s v="Grace"/>
    <s v="January"/>
    <n v="0"/>
  </r>
  <r>
    <x v="333"/>
    <x v="124"/>
    <s v="LG-01"/>
    <x v="1"/>
    <x v="2"/>
    <x v="2"/>
    <x v="6"/>
    <s v="C1079"/>
    <s v="Returning"/>
    <n v="1"/>
    <n v="9000"/>
    <n v="0"/>
    <n v="9000"/>
    <n v="9000"/>
    <n v="3500"/>
    <n v="3500"/>
    <n v="3500"/>
    <n v="5500"/>
    <s v="No"/>
    <s v="Grace"/>
    <s v="July"/>
    <n v="0"/>
  </r>
  <r>
    <x v="334"/>
    <x v="173"/>
    <s v="IB-01"/>
    <x v="3"/>
    <x v="1"/>
    <x v="1"/>
    <x v="2"/>
    <s v="C1105"/>
    <s v="New"/>
    <n v="1"/>
    <n v="32000"/>
    <n v="0.1"/>
    <n v="28800"/>
    <n v="28800"/>
    <n v="19000"/>
    <n v="19000"/>
    <n v="19000"/>
    <n v="9800"/>
    <s v="No"/>
    <s v="Aisha"/>
    <s v="January"/>
    <n v="0"/>
  </r>
  <r>
    <x v="335"/>
    <x v="69"/>
    <s v="IB-01"/>
    <x v="3"/>
    <x v="0"/>
    <x v="1"/>
    <x v="1"/>
    <s v="C1154"/>
    <s v="Returning"/>
    <n v="2"/>
    <n v="165000"/>
    <n v="0.15"/>
    <n v="280500"/>
    <n v="280500"/>
    <n v="112000"/>
    <n v="112000"/>
    <n v="224000"/>
    <n v="56500"/>
    <s v="No"/>
    <s v="Fatima"/>
    <s v="March"/>
    <n v="0"/>
  </r>
  <r>
    <x v="336"/>
    <x v="69"/>
    <s v="KN-01"/>
    <x v="2"/>
    <x v="2"/>
    <x v="2"/>
    <x v="4"/>
    <s v="C1086"/>
    <s v="New"/>
    <n v="3"/>
    <n v="6500"/>
    <n v="0.15"/>
    <n v="16575"/>
    <n v="16575"/>
    <n v="2200"/>
    <n v="2200"/>
    <n v="6600"/>
    <n v="9975"/>
    <s v="No"/>
    <s v="Chinedu"/>
    <s v="March"/>
    <n v="0"/>
  </r>
  <r>
    <x v="337"/>
    <x v="89"/>
    <s v="LG-01"/>
    <x v="1"/>
    <x v="2"/>
    <x v="0"/>
    <x v="7"/>
    <s v="C1069"/>
    <s v="New"/>
    <n v="2"/>
    <n v="24000"/>
    <n v="0.15"/>
    <n v="40800"/>
    <n v="40800"/>
    <n v="15000"/>
    <n v="15000"/>
    <n v="30000"/>
    <n v="10800"/>
    <s v="No"/>
    <s v="Aisha"/>
    <s v="March"/>
    <n v="0"/>
  </r>
  <r>
    <x v="338"/>
    <x v="174"/>
    <s v="LG-01"/>
    <x v="1"/>
    <x v="2"/>
    <x v="1"/>
    <x v="3"/>
    <s v="C1025"/>
    <s v="New"/>
    <n v="2"/>
    <n v="26000"/>
    <n v="0.05"/>
    <n v="49400"/>
    <n v="49400"/>
    <n v="15000"/>
    <n v="15000"/>
    <n v="30000"/>
    <n v="19400"/>
    <s v="No"/>
    <s v="Grace"/>
    <s v="February"/>
    <n v="0"/>
  </r>
  <r>
    <x v="339"/>
    <x v="114"/>
    <s v="AB-01"/>
    <x v="0"/>
    <x v="1"/>
    <x v="1"/>
    <x v="1"/>
    <s v="C1028"/>
    <s v="Returning"/>
    <n v="1"/>
    <n v="165000"/>
    <n v="0.15"/>
    <n v="140250"/>
    <n v="140250"/>
    <n v="112000"/>
    <n v="112000"/>
    <n v="112000"/>
    <n v="28250"/>
    <s v="No"/>
    <s v="Ibrahim"/>
    <s v="March"/>
    <n v="0"/>
  </r>
  <r>
    <x v="340"/>
    <x v="175"/>
    <s v="LG-01"/>
    <x v="1"/>
    <x v="2"/>
    <x v="1"/>
    <x v="1"/>
    <s v="C1171"/>
    <s v="Returning"/>
    <n v="3"/>
    <n v="165000"/>
    <n v="0"/>
    <n v="495000"/>
    <n v="495000"/>
    <n v="112000"/>
    <n v="112000"/>
    <n v="336000"/>
    <n v="159000"/>
    <s v="No"/>
    <s v="Chinedu"/>
    <s v="June"/>
    <n v="0"/>
  </r>
  <r>
    <x v="341"/>
    <x v="156"/>
    <s v="AB-01"/>
    <x v="0"/>
    <x v="2"/>
    <x v="1"/>
    <x v="2"/>
    <s v="C1127"/>
    <s v="Returning"/>
    <n v="4"/>
    <n v="32000"/>
    <n v="0"/>
    <n v="128000"/>
    <n v="128000"/>
    <n v="0"/>
    <n v="19000"/>
    <n v="76000"/>
    <n v="52000"/>
    <s v="No"/>
    <s v="Ibrahim"/>
    <s v="January"/>
    <n v="0"/>
  </r>
  <r>
    <x v="342"/>
    <x v="176"/>
    <s v="KN-01"/>
    <x v="2"/>
    <x v="2"/>
    <x v="1"/>
    <x v="1"/>
    <s v="C1061"/>
    <s v="Returning"/>
    <n v="4"/>
    <n v="165000"/>
    <n v="0"/>
    <n v="660000"/>
    <n v="660000"/>
    <n v="112000"/>
    <n v="112000"/>
    <n v="448000"/>
    <n v="212000"/>
    <s v="Yes"/>
    <s v="Fatima"/>
    <s v="July"/>
    <n v="1"/>
  </r>
  <r>
    <x v="343"/>
    <x v="143"/>
    <s v="IB-01"/>
    <x v="3"/>
    <x v="1"/>
    <x v="0"/>
    <x v="7"/>
    <s v="C1159"/>
    <s v="New"/>
    <n v="2"/>
    <n v="24000"/>
    <n v="0.1"/>
    <n v="43200"/>
    <n v="43200"/>
    <n v="15000"/>
    <n v="15000"/>
    <n v="30000"/>
    <n v="13200"/>
    <s v="No"/>
    <s v="Bola"/>
    <s v="August"/>
    <n v="0"/>
  </r>
  <r>
    <x v="344"/>
    <x v="106"/>
    <s v="LG-01"/>
    <x v="1"/>
    <x v="2"/>
    <x v="0"/>
    <x v="0"/>
    <s v="C1134"/>
    <s v="Returning"/>
    <n v="2"/>
    <n v="58000"/>
    <n v="0.15"/>
    <n v="98600"/>
    <n v="98600"/>
    <n v="39000"/>
    <n v="39000"/>
    <n v="78000"/>
    <n v="20600"/>
    <s v="No"/>
    <s v="Chinedu"/>
    <s v="January"/>
    <n v="0"/>
  </r>
  <r>
    <x v="345"/>
    <x v="87"/>
    <s v="AB-01"/>
    <x v="0"/>
    <x v="2"/>
    <x v="2"/>
    <x v="6"/>
    <s v="C1049"/>
    <s v="Returning"/>
    <n v="2"/>
    <n v="9000"/>
    <n v="0.15"/>
    <n v="15300"/>
    <n v="15300"/>
    <n v="3500"/>
    <n v="3500"/>
    <n v="7000"/>
    <n v="8300"/>
    <s v="No"/>
    <s v="Ibrahim"/>
    <s v="February"/>
    <n v="0"/>
  </r>
  <r>
    <x v="346"/>
    <x v="75"/>
    <s v="KN-01"/>
    <x v="2"/>
    <x v="2"/>
    <x v="1"/>
    <x v="2"/>
    <s v="C1066"/>
    <s v="Returning"/>
    <n v="3"/>
    <n v="32000"/>
    <n v="0"/>
    <n v="96000"/>
    <n v="96000"/>
    <n v="19000"/>
    <n v="19000"/>
    <n v="57000"/>
    <n v="39000"/>
    <s v="No"/>
    <s v="Chinedu"/>
    <s v="February"/>
    <n v="0"/>
  </r>
  <r>
    <x v="347"/>
    <x v="151"/>
    <s v="KN-01"/>
    <x v="2"/>
    <x v="2"/>
    <x v="0"/>
    <x v="7"/>
    <s v="C1096"/>
    <s v="Returning"/>
    <n v="5"/>
    <n v="24000"/>
    <n v="0.05"/>
    <n v="114000"/>
    <n v="114000"/>
    <n v="15000"/>
    <n v="15000"/>
    <n v="75000"/>
    <n v="39000"/>
    <s v="No"/>
    <s v="Chinedu"/>
    <s v="July"/>
    <n v="0"/>
  </r>
  <r>
    <x v="348"/>
    <x v="17"/>
    <s v="IB-01"/>
    <x v="3"/>
    <x v="2"/>
    <x v="1"/>
    <x v="2"/>
    <s v="C1097"/>
    <s v="Returning"/>
    <n v="2"/>
    <n v="32000"/>
    <n v="0.15"/>
    <n v="54400"/>
    <n v="54400"/>
    <n v="19000"/>
    <n v="19000"/>
    <n v="38000"/>
    <n v="16400"/>
    <s v="No"/>
    <s v="Aisha"/>
    <s v="April"/>
    <n v="0"/>
  </r>
  <r>
    <x v="349"/>
    <x v="128"/>
    <s v="LG-01"/>
    <x v="1"/>
    <x v="2"/>
    <x v="0"/>
    <x v="5"/>
    <s v="C1110"/>
    <s v="New"/>
    <n v="3"/>
    <n v="42000"/>
    <n v="0.15"/>
    <n v="96390"/>
    <n v="107100"/>
    <n v="28000"/>
    <n v="28000"/>
    <n v="84000"/>
    <n v="23100"/>
    <s v="No"/>
    <s v="Fatima"/>
    <s v="May"/>
    <n v="0"/>
  </r>
  <r>
    <x v="350"/>
    <x v="170"/>
    <s v="KN-01"/>
    <x v="2"/>
    <x v="2"/>
    <x v="1"/>
    <x v="2"/>
    <s v="C1029"/>
    <s v="New"/>
    <n v="2"/>
    <n v="32000"/>
    <n v="0.1"/>
    <n v="57600"/>
    <n v="57600"/>
    <n v="19000"/>
    <n v="19000"/>
    <n v="38000"/>
    <n v="19600"/>
    <s v="No"/>
    <s v="Bola"/>
    <s v="January"/>
    <n v="0"/>
  </r>
  <r>
    <x v="351"/>
    <x v="177"/>
    <s v="LG-01"/>
    <x v="1"/>
    <x v="1"/>
    <x v="1"/>
    <x v="2"/>
    <s v="C1071"/>
    <s v="New"/>
    <n v="2"/>
    <n v="32000"/>
    <n v="0.15"/>
    <n v="54400"/>
    <n v="54400"/>
    <n v="19000"/>
    <n v="19000"/>
    <n v="38000"/>
    <n v="16400"/>
    <s v="No"/>
    <s v="Bola"/>
    <s v="April"/>
    <n v="0"/>
  </r>
  <r>
    <x v="352"/>
    <x v="24"/>
    <s v="AB-01"/>
    <x v="0"/>
    <x v="1"/>
    <x v="2"/>
    <x v="8"/>
    <s v="C1021"/>
    <s v="New"/>
    <n v="1"/>
    <n v="28000"/>
    <n v="0.15"/>
    <n v="23800"/>
    <n v="23800"/>
    <n v="0"/>
    <n v="16000"/>
    <n v="16000"/>
    <n v="7800"/>
    <s v="No"/>
    <s v="Bola"/>
    <s v="June"/>
    <n v="0"/>
  </r>
  <r>
    <x v="353"/>
    <x v="34"/>
    <s v="IB-01"/>
    <x v="3"/>
    <x v="1"/>
    <x v="2"/>
    <x v="6"/>
    <s v="C1091"/>
    <s v="Returning"/>
    <n v="1"/>
    <n v="9000"/>
    <n v="0.15"/>
    <n v="7650"/>
    <n v="7650"/>
    <n v="3500"/>
    <n v="3500"/>
    <n v="3500"/>
    <n v="4150"/>
    <s v="No"/>
    <s v="Fatima"/>
    <s v="January"/>
    <n v="0"/>
  </r>
  <r>
    <x v="354"/>
    <x v="136"/>
    <s v="LG-02"/>
    <x v="1"/>
    <x v="1"/>
    <x v="0"/>
    <x v="5"/>
    <s v="C1077"/>
    <s v="Returning"/>
    <n v="18"/>
    <n v="42000"/>
    <n v="0.1"/>
    <n v="680400"/>
    <n v="680400"/>
    <n v="28000"/>
    <n v="28000"/>
    <n v="504000"/>
    <n v="176400"/>
    <s v="No"/>
    <s v="Kemi"/>
    <s v="March"/>
    <n v="0"/>
  </r>
  <r>
    <x v="355"/>
    <x v="35"/>
    <s v="IB-01"/>
    <x v="3"/>
    <x v="1"/>
    <x v="0"/>
    <x v="0"/>
    <s v="C1178"/>
    <s v="Returning"/>
    <n v="4"/>
    <n v="58000"/>
    <n v="0"/>
    <n v="232000"/>
    <n v="232000"/>
    <n v="39000"/>
    <n v="39000"/>
    <n v="156000"/>
    <n v="76000"/>
    <s v="No"/>
    <s v="Bola"/>
    <s v="April"/>
    <n v="0"/>
  </r>
  <r>
    <x v="356"/>
    <x v="65"/>
    <s v="AB-02"/>
    <x v="0"/>
    <x v="2"/>
    <x v="1"/>
    <x v="3"/>
    <s v="C1049"/>
    <s v="Returning"/>
    <n v="1"/>
    <n v="26000"/>
    <n v="0.2"/>
    <n v="20800"/>
    <n v="20800"/>
    <n v="0"/>
    <n v="15000"/>
    <n v="15000"/>
    <n v="5800"/>
    <s v="No"/>
    <s v="David"/>
    <s v="July"/>
    <n v="0"/>
  </r>
  <r>
    <x v="357"/>
    <x v="38"/>
    <s v="AB-02"/>
    <x v="0"/>
    <x v="1"/>
    <x v="1"/>
    <x v="3"/>
    <s v="C1000"/>
    <s v="Returning"/>
    <n v="2"/>
    <n v="26000"/>
    <n v="0.1"/>
    <n v="46800"/>
    <n v="46800"/>
    <n v="15000"/>
    <n v="15000"/>
    <n v="30000"/>
    <n v="16800"/>
    <s v="Yes"/>
    <s v="Bola"/>
    <s v="May"/>
    <n v="1"/>
  </r>
  <r>
    <x v="358"/>
    <x v="178"/>
    <s v="AB-02"/>
    <x v="0"/>
    <x v="1"/>
    <x v="2"/>
    <x v="8"/>
    <s v="C1185"/>
    <s v="New"/>
    <n v="1"/>
    <n v="28000"/>
    <n v="0"/>
    <n v="28000"/>
    <n v="28000"/>
    <n v="0"/>
    <n v="16000"/>
    <n v="16000"/>
    <n v="12000"/>
    <s v="No"/>
    <s v="Fatima"/>
    <s v="August"/>
    <n v="0"/>
  </r>
  <r>
    <x v="359"/>
    <x v="112"/>
    <s v="KN-01"/>
    <x v="2"/>
    <x v="1"/>
    <x v="0"/>
    <x v="5"/>
    <s v="C1008"/>
    <s v="Returning"/>
    <n v="1"/>
    <n v="42000"/>
    <n v="0.15"/>
    <n v="35700"/>
    <n v="35700"/>
    <n v="28000"/>
    <n v="28000"/>
    <n v="28000"/>
    <n v="7700"/>
    <s v="No"/>
    <s v="Kemi"/>
    <s v="July"/>
    <n v="0"/>
  </r>
  <r>
    <x v="360"/>
    <x v="8"/>
    <s v="IB-01"/>
    <x v="3"/>
    <x v="1"/>
    <x v="2"/>
    <x v="4"/>
    <s v="C1151"/>
    <s v="New"/>
    <n v="2"/>
    <n v="6500"/>
    <n v="0.05"/>
    <n v="12350"/>
    <n v="12350"/>
    <n v="2200"/>
    <n v="2200"/>
    <n v="4400"/>
    <n v="7950"/>
    <s v="No"/>
    <s v="Aisha"/>
    <s v="January"/>
    <n v="0"/>
  </r>
  <r>
    <x v="361"/>
    <x v="179"/>
    <s v="LG-02"/>
    <x v="1"/>
    <x v="1"/>
    <x v="2"/>
    <x v="6"/>
    <s v="C1132"/>
    <s v="New"/>
    <n v="4"/>
    <n v="9000"/>
    <n v="0.15"/>
    <n v="30600"/>
    <n v="30600"/>
    <n v="3500"/>
    <n v="3500"/>
    <n v="14000"/>
    <n v="16600"/>
    <s v="No"/>
    <s v="Ibrahim"/>
    <s v="March"/>
    <n v="0"/>
  </r>
  <r>
    <x v="362"/>
    <x v="79"/>
    <s v="IB-01"/>
    <x v="3"/>
    <x v="2"/>
    <x v="0"/>
    <x v="7"/>
    <s v="C1190"/>
    <s v="Returning"/>
    <n v="2"/>
    <n v="24000"/>
    <n v="0.1"/>
    <n v="43200"/>
    <n v="43200"/>
    <n v="15000"/>
    <n v="15000"/>
    <n v="30000"/>
    <n v="13200"/>
    <s v="No"/>
    <s v="Ibrahim"/>
    <s v="June"/>
    <n v="0"/>
  </r>
  <r>
    <x v="363"/>
    <x v="65"/>
    <s v="AB-01"/>
    <x v="0"/>
    <x v="2"/>
    <x v="0"/>
    <x v="7"/>
    <s v="C1015"/>
    <s v="Returning"/>
    <n v="2"/>
    <n v="24000"/>
    <n v="0.25"/>
    <n v="36000"/>
    <n v="36000"/>
    <n v="15000"/>
    <n v="15000"/>
    <n v="30000"/>
    <n v="6000"/>
    <s v="Yes"/>
    <s v="Fatima"/>
    <s v="July"/>
    <n v="1"/>
  </r>
  <r>
    <x v="364"/>
    <x v="13"/>
    <s v="IB-01"/>
    <x v="3"/>
    <x v="0"/>
    <x v="1"/>
    <x v="1"/>
    <s v="C1169"/>
    <s v="Returning"/>
    <n v="4"/>
    <n v="165000"/>
    <n v="0.05"/>
    <n v="627000"/>
    <n v="627000"/>
    <n v="112000"/>
    <n v="112000"/>
    <n v="448000"/>
    <n v="179000"/>
    <s v="No"/>
    <s v="Chinedu"/>
    <s v="June"/>
    <n v="0"/>
  </r>
  <r>
    <x v="365"/>
    <x v="180"/>
    <s v="AB-01"/>
    <x v="0"/>
    <x v="0"/>
    <x v="0"/>
    <x v="7"/>
    <s v="C1027"/>
    <s v="Returning"/>
    <n v="1"/>
    <n v="24000"/>
    <n v="0.25"/>
    <n v="18000"/>
    <n v="18000"/>
    <n v="15000"/>
    <n v="15000"/>
    <n v="15000"/>
    <n v="3000"/>
    <s v="Yes"/>
    <s v="Bola"/>
    <s v="July"/>
    <n v="1"/>
  </r>
  <r>
    <x v="366"/>
    <x v="151"/>
    <s v="KN-01"/>
    <x v="2"/>
    <x v="2"/>
    <x v="2"/>
    <x v="6"/>
    <s v="C1187"/>
    <s v="Returning"/>
    <n v="2"/>
    <n v="9000"/>
    <n v="0"/>
    <n v="18000"/>
    <n v="18000"/>
    <n v="3500"/>
    <n v="3500"/>
    <n v="7000"/>
    <n v="11000"/>
    <s v="No"/>
    <s v="Kemi"/>
    <s v="July"/>
    <n v="0"/>
  </r>
  <r>
    <x v="367"/>
    <x v="85"/>
    <s v="LG-02"/>
    <x v="1"/>
    <x v="2"/>
    <x v="2"/>
    <x v="4"/>
    <s v="C1102"/>
    <s v="Returning"/>
    <n v="4"/>
    <n v="6500"/>
    <n v="0.05"/>
    <n v="24700"/>
    <n v="24700"/>
    <n v="2200"/>
    <n v="2200"/>
    <n v="8800"/>
    <n v="15900"/>
    <s v="No"/>
    <s v="Bola"/>
    <s v="July"/>
    <n v="0"/>
  </r>
  <r>
    <x v="368"/>
    <x v="79"/>
    <s v="KN-01"/>
    <x v="2"/>
    <x v="0"/>
    <x v="1"/>
    <x v="3"/>
    <s v="C1102"/>
    <s v="Returning"/>
    <n v="2"/>
    <n v="26000"/>
    <n v="0.05"/>
    <n v="59280"/>
    <n v="49400"/>
    <n v="15000"/>
    <n v="15000"/>
    <n v="30000"/>
    <n v="19400"/>
    <s v="No"/>
    <s v="Bola"/>
    <s v="June"/>
    <n v="0"/>
  </r>
  <r>
    <x v="369"/>
    <x v="181"/>
    <s v="LG-01"/>
    <x v="1"/>
    <x v="0"/>
    <x v="0"/>
    <x v="0"/>
    <s v="C1002"/>
    <s v="Returning"/>
    <n v="1"/>
    <n v="58000"/>
    <n v="0.1"/>
    <n v="52200"/>
    <n v="52200"/>
    <n v="39000"/>
    <n v="39000"/>
    <n v="39000"/>
    <n v="13200"/>
    <s v="No"/>
    <s v="Grace"/>
    <s v="June"/>
    <n v="0"/>
  </r>
  <r>
    <x v="370"/>
    <x v="19"/>
    <s v="IB-01"/>
    <x v="3"/>
    <x v="2"/>
    <x v="0"/>
    <x v="0"/>
    <s v="C1170"/>
    <s v="New"/>
    <n v="3"/>
    <n v="58000"/>
    <n v="0.1"/>
    <n v="156600"/>
    <n v="156600"/>
    <n v="39000"/>
    <n v="39000"/>
    <n v="117000"/>
    <n v="39600"/>
    <s v="No"/>
    <s v="Grace"/>
    <s v="April"/>
    <n v="0"/>
  </r>
  <r>
    <x v="371"/>
    <x v="84"/>
    <s v="AB-01"/>
    <x v="0"/>
    <x v="2"/>
    <x v="0"/>
    <x v="7"/>
    <s v="C1124"/>
    <s v="Returning"/>
    <n v="1"/>
    <n v="24000"/>
    <n v="0"/>
    <n v="24000"/>
    <n v="24000"/>
    <n v="15000"/>
    <n v="15000"/>
    <n v="15000"/>
    <n v="9000"/>
    <s v="No"/>
    <s v="Grace"/>
    <s v="July"/>
    <n v="0"/>
  </r>
  <r>
    <x v="372"/>
    <x v="135"/>
    <s v="AB-01"/>
    <x v="0"/>
    <x v="2"/>
    <x v="0"/>
    <x v="0"/>
    <s v="C1025"/>
    <s v="New"/>
    <n v="2"/>
    <n v="58000"/>
    <n v="0.2"/>
    <n v="92800"/>
    <n v="92800"/>
    <n v="39000"/>
    <n v="39000"/>
    <n v="78000"/>
    <n v="14800"/>
    <s v="Yes"/>
    <s v="Chinedu"/>
    <s v="February"/>
    <n v="1"/>
  </r>
  <r>
    <x v="373"/>
    <x v="89"/>
    <s v="KN-01"/>
    <x v="2"/>
    <x v="1"/>
    <x v="0"/>
    <x v="7"/>
    <s v="C1063"/>
    <s v="New"/>
    <n v="1"/>
    <n v="24000"/>
    <n v="0.05"/>
    <n v="22800"/>
    <n v="22800"/>
    <n v="15000"/>
    <n v="15000"/>
    <n v="15000"/>
    <n v="7800"/>
    <s v="No"/>
    <s v="Fatima"/>
    <s v="March"/>
    <n v="0"/>
  </r>
  <r>
    <x v="374"/>
    <x v="173"/>
    <s v="AB-01"/>
    <x v="0"/>
    <x v="2"/>
    <x v="0"/>
    <x v="5"/>
    <s v="C1085"/>
    <s v="New"/>
    <n v="2"/>
    <n v="42000"/>
    <n v="0.25"/>
    <n v="63000"/>
    <n v="63000"/>
    <n v="28000"/>
    <n v="28000"/>
    <n v="56000"/>
    <n v="7000"/>
    <s v="No"/>
    <s v="Chinedu"/>
    <s v="January"/>
    <n v="0"/>
  </r>
  <r>
    <x v="375"/>
    <x v="182"/>
    <s v="KN-01"/>
    <x v="2"/>
    <x v="2"/>
    <x v="1"/>
    <x v="1"/>
    <s v="C1160"/>
    <s v="New"/>
    <n v="1"/>
    <n v="165000"/>
    <n v="0.1"/>
    <n v="148500"/>
    <n v="148500"/>
    <n v="112000"/>
    <n v="112000"/>
    <n v="112000"/>
    <n v="36500"/>
    <s v="No"/>
    <s v="Kemi"/>
    <s v="January"/>
    <n v="0"/>
  </r>
  <r>
    <x v="376"/>
    <x v="71"/>
    <s v="LG-02"/>
    <x v="1"/>
    <x v="2"/>
    <x v="2"/>
    <x v="4"/>
    <s v="C1048"/>
    <s v="New"/>
    <n v="3"/>
    <n v="6500"/>
    <n v="0.05"/>
    <n v="18525"/>
    <n v="18525"/>
    <n v="2200"/>
    <n v="2200"/>
    <n v="6600"/>
    <n v="11925"/>
    <s v="Yes"/>
    <s v="Kemi"/>
    <s v="April"/>
    <n v="1"/>
  </r>
  <r>
    <x v="377"/>
    <x v="98"/>
    <s v="IB-01"/>
    <x v="3"/>
    <x v="1"/>
    <x v="1"/>
    <x v="1"/>
    <s v="C1007"/>
    <s v="New"/>
    <n v="3"/>
    <n v="165000"/>
    <n v="0.05"/>
    <n v="470250"/>
    <n v="470250"/>
    <n v="112000"/>
    <n v="112000"/>
    <n v="336000"/>
    <n v="134250"/>
    <s v="No"/>
    <s v="Aisha"/>
    <s v="April"/>
    <n v="0"/>
  </r>
  <r>
    <x v="378"/>
    <x v="122"/>
    <s v="AB-01"/>
    <x v="0"/>
    <x v="2"/>
    <x v="0"/>
    <x v="0"/>
    <s v="C1022"/>
    <s v="Returning"/>
    <n v="3"/>
    <n v="58000"/>
    <n v="0.25"/>
    <n v="130500"/>
    <n v="130500"/>
    <n v="39000"/>
    <n v="39000"/>
    <n v="117000"/>
    <n v="13500"/>
    <s v="No"/>
    <s v="Ibrahim"/>
    <s v="March"/>
    <n v="0"/>
  </r>
  <r>
    <x v="379"/>
    <x v="130"/>
    <s v="KN-01"/>
    <x v="2"/>
    <x v="0"/>
    <x v="1"/>
    <x v="2"/>
    <s v="C1119"/>
    <s v="Returning"/>
    <n v="2"/>
    <n v="32000"/>
    <n v="0.15"/>
    <n v="54400"/>
    <n v="54400"/>
    <n v="19000"/>
    <n v="19000"/>
    <n v="38000"/>
    <n v="16400"/>
    <s v="No"/>
    <s v="Kemi"/>
    <s v="January"/>
    <n v="0"/>
  </r>
  <r>
    <x v="380"/>
    <x v="183"/>
    <s v="PH-01"/>
    <x v="4"/>
    <x v="2"/>
    <x v="2"/>
    <x v="6"/>
    <s v="C1190"/>
    <s v="Returning"/>
    <n v="2"/>
    <n v="9000"/>
    <n v="0.05"/>
    <n v="17100"/>
    <n v="17100"/>
    <n v="3500"/>
    <n v="3500"/>
    <n v="7000"/>
    <n v="10100"/>
    <s v="No"/>
    <s v="Kemi"/>
    <s v="April"/>
    <n v="0"/>
  </r>
  <r>
    <x v="381"/>
    <x v="184"/>
    <s v="PH-01"/>
    <x v="4"/>
    <x v="1"/>
    <x v="0"/>
    <x v="5"/>
    <s v="C1172"/>
    <s v="New"/>
    <n v="4"/>
    <n v="42000"/>
    <n v="0.15"/>
    <n v="142800"/>
    <n v="142800"/>
    <n v="28000"/>
    <n v="28000"/>
    <n v="112000"/>
    <n v="30800"/>
    <s v="No"/>
    <s v="Aisha"/>
    <s v="August"/>
    <n v="0"/>
  </r>
  <r>
    <x v="382"/>
    <x v="185"/>
    <s v="LG-01"/>
    <x v="1"/>
    <x v="2"/>
    <x v="2"/>
    <x v="4"/>
    <s v="C1042"/>
    <s v="Returning"/>
    <n v="22"/>
    <n v="6500"/>
    <n v="0"/>
    <n v="143000"/>
    <n v="143000"/>
    <n v="2200"/>
    <n v="2200"/>
    <n v="48400"/>
    <n v="94600"/>
    <s v="No"/>
    <s v="David"/>
    <s v="February"/>
    <n v="0"/>
  </r>
  <r>
    <x v="383"/>
    <x v="66"/>
    <s v="IB-01"/>
    <x v="3"/>
    <x v="1"/>
    <x v="0"/>
    <x v="7"/>
    <s v="C1026"/>
    <s v="Returning"/>
    <n v="3"/>
    <n v="24000"/>
    <n v="0.05"/>
    <n v="68400"/>
    <n v="68400"/>
    <n v="15000"/>
    <n v="15000"/>
    <n v="45000"/>
    <n v="23400"/>
    <s v="No"/>
    <s v="Ibrahim"/>
    <s v="July"/>
    <n v="0"/>
  </r>
  <r>
    <x v="384"/>
    <x v="108"/>
    <s v="LG-02"/>
    <x v="1"/>
    <x v="2"/>
    <x v="1"/>
    <x v="1"/>
    <s v="C1111"/>
    <s v="Returning"/>
    <n v="3"/>
    <n v="165000"/>
    <n v="0"/>
    <n v="495000"/>
    <n v="495000"/>
    <n v="112000"/>
    <n v="112000"/>
    <n v="336000"/>
    <n v="159000"/>
    <s v="No"/>
    <s v="Kemi"/>
    <s v="July"/>
    <n v="0"/>
  </r>
  <r>
    <x v="385"/>
    <x v="73"/>
    <s v="LG-01"/>
    <x v="1"/>
    <x v="0"/>
    <x v="2"/>
    <x v="6"/>
    <s v="C1068"/>
    <s v="New"/>
    <n v="3"/>
    <n v="9000"/>
    <n v="0"/>
    <n v="27000"/>
    <n v="27000"/>
    <n v="3500"/>
    <n v="3500"/>
    <n v="10500"/>
    <n v="16500"/>
    <s v="No"/>
    <s v="Ibrahim"/>
    <s v="January"/>
    <n v="0"/>
  </r>
  <r>
    <x v="386"/>
    <x v="150"/>
    <s v="IB-01"/>
    <x v="3"/>
    <x v="2"/>
    <x v="1"/>
    <x v="2"/>
    <s v="C1175"/>
    <s v="Returning"/>
    <n v="4"/>
    <n v="32000"/>
    <n v="0.1"/>
    <n v="115200"/>
    <n v="115200"/>
    <n v="19000"/>
    <n v="19000"/>
    <n v="76000"/>
    <n v="39200"/>
    <s v="No"/>
    <s v="Kemi"/>
    <s v="July"/>
    <n v="0"/>
  </r>
  <r>
    <x v="387"/>
    <x v="186"/>
    <s v="PH-01"/>
    <x v="4"/>
    <x v="2"/>
    <x v="1"/>
    <x v="2"/>
    <s v="C1185"/>
    <s v="Returning"/>
    <n v="1"/>
    <n v="32000"/>
    <n v="0"/>
    <n v="32000"/>
    <n v="32000"/>
    <n v="19000"/>
    <n v="19000"/>
    <n v="19000"/>
    <n v="13000"/>
    <s v="No"/>
    <s v="Bola"/>
    <s v="August"/>
    <n v="0"/>
  </r>
  <r>
    <x v="388"/>
    <x v="70"/>
    <s v="IB-01"/>
    <x v="3"/>
    <x v="2"/>
    <x v="0"/>
    <x v="7"/>
    <s v="C1029"/>
    <s v="New"/>
    <n v="1"/>
    <n v="24000"/>
    <n v="0.05"/>
    <n v="22800"/>
    <n v="22800"/>
    <n v="15000"/>
    <n v="15000"/>
    <n v="15000"/>
    <n v="7800"/>
    <s v="No"/>
    <s v="Aisha"/>
    <s v="June"/>
    <n v="0"/>
  </r>
  <r>
    <x v="389"/>
    <x v="187"/>
    <s v="KN-01"/>
    <x v="2"/>
    <x v="0"/>
    <x v="0"/>
    <x v="0"/>
    <s v="C1066"/>
    <s v="Returning"/>
    <n v="2"/>
    <n v="58000"/>
    <n v="0.1"/>
    <n v="104400"/>
    <n v="104400"/>
    <n v="39000"/>
    <n v="39000"/>
    <n v="78000"/>
    <n v="26400"/>
    <s v="No"/>
    <s v="Ibrahim"/>
    <s v="August"/>
    <n v="0"/>
  </r>
  <r>
    <x v="390"/>
    <x v="188"/>
    <s v="KN-01"/>
    <x v="2"/>
    <x v="1"/>
    <x v="2"/>
    <x v="6"/>
    <s v="C1150"/>
    <s v="New"/>
    <n v="1"/>
    <n v="9000"/>
    <n v="0.05"/>
    <n v="8550"/>
    <n v="8550"/>
    <n v="3500"/>
    <n v="3500"/>
    <n v="3500"/>
    <n v="5050"/>
    <s v="No"/>
    <s v="David"/>
    <s v="April"/>
    <n v="0"/>
  </r>
  <r>
    <x v="391"/>
    <x v="46"/>
    <s v="LG-02"/>
    <x v="1"/>
    <x v="2"/>
    <x v="2"/>
    <x v="4"/>
    <s v="C1072"/>
    <s v="New"/>
    <n v="2"/>
    <n v="6500"/>
    <n v="0.15"/>
    <n v="11050"/>
    <n v="11050"/>
    <n v="2200"/>
    <n v="2200"/>
    <n v="4400"/>
    <n v="6650"/>
    <s v="No"/>
    <s v="David"/>
    <s v="June"/>
    <n v="0"/>
  </r>
  <r>
    <x v="392"/>
    <x v="42"/>
    <s v="KN-01"/>
    <x v="2"/>
    <x v="1"/>
    <x v="2"/>
    <x v="4"/>
    <s v="C1001"/>
    <s v="Returning"/>
    <n v="2"/>
    <n v="6500"/>
    <n v="0.1"/>
    <n v="11700"/>
    <n v="11700"/>
    <n v="2200"/>
    <n v="2200"/>
    <n v="4400"/>
    <n v="7300"/>
    <s v="No"/>
    <s v="Chinedu"/>
    <s v="January"/>
    <n v="0"/>
  </r>
  <r>
    <x v="393"/>
    <x v="63"/>
    <s v="LG-01"/>
    <x v="1"/>
    <x v="1"/>
    <x v="2"/>
    <x v="6"/>
    <s v="C1065"/>
    <s v="Returning"/>
    <n v="3"/>
    <n v="9000"/>
    <n v="0.05"/>
    <n v="25650"/>
    <n v="25650"/>
    <n v="3500"/>
    <n v="3500"/>
    <n v="10500"/>
    <n v="15150"/>
    <s v="No"/>
    <s v="Aisha"/>
    <s v="August"/>
    <n v="0"/>
  </r>
  <r>
    <x v="394"/>
    <x v="38"/>
    <s v="KN-01"/>
    <x v="2"/>
    <x v="0"/>
    <x v="2"/>
    <x v="8"/>
    <s v="C1089"/>
    <s v="Returning"/>
    <n v="2"/>
    <n v="28000"/>
    <n v="0.05"/>
    <n v="53200"/>
    <n v="53200"/>
    <n v="16000"/>
    <n v="16000"/>
    <n v="32000"/>
    <n v="21200"/>
    <s v="No"/>
    <s v="Aisha"/>
    <s v="May"/>
    <n v="0"/>
  </r>
  <r>
    <x v="395"/>
    <x v="86"/>
    <s v="AB-01"/>
    <x v="0"/>
    <x v="2"/>
    <x v="0"/>
    <x v="7"/>
    <s v="C1138"/>
    <s v="Returning"/>
    <n v="1"/>
    <n v="24000"/>
    <n v="0.2"/>
    <n v="19200"/>
    <n v="19200"/>
    <n v="15000"/>
    <n v="15000"/>
    <n v="15000"/>
    <n v="4200"/>
    <s v="No"/>
    <s v="Bola"/>
    <s v="January"/>
    <n v="0"/>
  </r>
  <r>
    <x v="396"/>
    <x v="70"/>
    <s v="LG-02"/>
    <x v="1"/>
    <x v="0"/>
    <x v="1"/>
    <x v="1"/>
    <s v="C1039"/>
    <s v="New"/>
    <n v="3"/>
    <n v="165000"/>
    <n v="0"/>
    <n v="495000"/>
    <n v="495000"/>
    <n v="112000"/>
    <n v="112000"/>
    <n v="336000"/>
    <n v="159000"/>
    <s v="No"/>
    <s v="Grace"/>
    <s v="June"/>
    <n v="0"/>
  </r>
  <r>
    <x v="397"/>
    <x v="189"/>
    <s v="LG-01"/>
    <x v="1"/>
    <x v="2"/>
    <x v="0"/>
    <x v="0"/>
    <s v="C1134"/>
    <s v="Returning"/>
    <n v="4"/>
    <n v="58000"/>
    <n v="0"/>
    <n v="232000"/>
    <n v="232000"/>
    <n v="39000"/>
    <n v="39000"/>
    <n v="156000"/>
    <n v="76000"/>
    <s v="No"/>
    <s v="Grace"/>
    <s v="July"/>
    <n v="0"/>
  </r>
  <r>
    <x v="398"/>
    <x v="190"/>
    <s v="KN-01"/>
    <x v="2"/>
    <x v="1"/>
    <x v="1"/>
    <x v="3"/>
    <s v="C1133"/>
    <s v="Returning"/>
    <n v="2"/>
    <n v="26000"/>
    <n v="0.1"/>
    <n v="46800"/>
    <n v="46800"/>
    <n v="15000"/>
    <n v="15000"/>
    <n v="30000"/>
    <n v="16800"/>
    <s v="No"/>
    <s v="Chinedu"/>
    <s v="May"/>
    <n v="0"/>
  </r>
  <r>
    <x v="399"/>
    <x v="17"/>
    <s v="IB-01"/>
    <x v="3"/>
    <x v="0"/>
    <x v="0"/>
    <x v="0"/>
    <s v="C1039"/>
    <s v="New"/>
    <n v="1"/>
    <n v="58000"/>
    <n v="0"/>
    <n v="58000"/>
    <n v="58000"/>
    <n v="39000"/>
    <n v="39000"/>
    <n v="39000"/>
    <n v="19000"/>
    <s v="No"/>
    <s v="Aisha"/>
    <s v="April"/>
    <n v="0"/>
  </r>
  <r>
    <x v="400"/>
    <x v="191"/>
    <s v="IB-01"/>
    <x v="3"/>
    <x v="1"/>
    <x v="1"/>
    <x v="1"/>
    <s v="C1158"/>
    <s v="Returning"/>
    <n v="3"/>
    <n v="165000"/>
    <n v="0"/>
    <n v="495000"/>
    <n v="495000"/>
    <n v="112000"/>
    <n v="112000"/>
    <n v="336000"/>
    <n v="159000"/>
    <s v="Yes"/>
    <s v="Fatima"/>
    <s v="May"/>
    <n v="1"/>
  </r>
  <r>
    <x v="401"/>
    <x v="102"/>
    <s v="IB-01"/>
    <x v="3"/>
    <x v="0"/>
    <x v="1"/>
    <x v="1"/>
    <s v="C1062"/>
    <s v="Returning"/>
    <n v="1"/>
    <n v="165000"/>
    <n v="0.1"/>
    <n v="148500"/>
    <n v="148500"/>
    <n v="112000"/>
    <n v="112000"/>
    <n v="112000"/>
    <n v="36500"/>
    <s v="No"/>
    <s v="Aisha"/>
    <s v="January"/>
    <n v="0"/>
  </r>
  <r>
    <x v="402"/>
    <x v="129"/>
    <s v="PH-01"/>
    <x v="4"/>
    <x v="2"/>
    <x v="0"/>
    <x v="5"/>
    <s v="C1149"/>
    <s v="New"/>
    <n v="3"/>
    <n v="42000"/>
    <n v="0.05"/>
    <n v="95760"/>
    <n v="119700"/>
    <n v="28000"/>
    <n v="28000"/>
    <n v="84000"/>
    <n v="35700"/>
    <s v="No"/>
    <s v="Fatima"/>
    <s v="April"/>
    <n v="0"/>
  </r>
  <r>
    <x v="403"/>
    <x v="83"/>
    <s v="KN-01"/>
    <x v="2"/>
    <x v="1"/>
    <x v="0"/>
    <x v="5"/>
    <s v="C1123"/>
    <s v="Returning"/>
    <n v="1"/>
    <n v="42000"/>
    <n v="0"/>
    <n v="42000"/>
    <n v="42000"/>
    <n v="28000"/>
    <n v="28000"/>
    <n v="28000"/>
    <n v="14000"/>
    <s v="No"/>
    <s v="Fatima"/>
    <s v="May"/>
    <n v="0"/>
  </r>
  <r>
    <x v="404"/>
    <x v="30"/>
    <s v="PH-01"/>
    <x v="4"/>
    <x v="1"/>
    <x v="0"/>
    <x v="5"/>
    <s v="C1182"/>
    <s v="New"/>
    <n v="3"/>
    <n v="42000"/>
    <n v="0"/>
    <n v="126000"/>
    <n v="126000"/>
    <n v="28000"/>
    <n v="28000"/>
    <n v="84000"/>
    <n v="42000"/>
    <s v="Yes"/>
    <s v="Grace"/>
    <s v="May"/>
    <n v="1"/>
  </r>
  <r>
    <x v="405"/>
    <x v="152"/>
    <s v="AB-02"/>
    <x v="0"/>
    <x v="1"/>
    <x v="1"/>
    <x v="3"/>
    <s v="C1162"/>
    <s v="New"/>
    <n v="1"/>
    <n v="26000"/>
    <n v="0"/>
    <n v="26000"/>
    <n v="26000"/>
    <n v="15000"/>
    <n v="15000"/>
    <n v="15000"/>
    <n v="11000"/>
    <s v="No"/>
    <s v="Ibrahim"/>
    <s v="July"/>
    <n v="0"/>
  </r>
  <r>
    <x v="406"/>
    <x v="180"/>
    <s v="LG-02"/>
    <x v="1"/>
    <x v="2"/>
    <x v="1"/>
    <x v="2"/>
    <s v="C1116"/>
    <s v="Returning"/>
    <n v="2"/>
    <n v="32000"/>
    <n v="0.1"/>
    <n v="57600"/>
    <n v="57600"/>
    <n v="19000"/>
    <n v="19000"/>
    <n v="38000"/>
    <n v="19600"/>
    <s v="No"/>
    <s v="Kemi"/>
    <s v="July"/>
    <n v="0"/>
  </r>
  <r>
    <x v="407"/>
    <x v="71"/>
    <s v="KN-01"/>
    <x v="2"/>
    <x v="1"/>
    <x v="1"/>
    <x v="1"/>
    <s v="C1001"/>
    <s v="Returning"/>
    <n v="1"/>
    <n v="165000"/>
    <n v="0.15"/>
    <n v="140250"/>
    <n v="140250"/>
    <n v="112000"/>
    <n v="112000"/>
    <n v="112000"/>
    <n v="28250"/>
    <s v="No"/>
    <s v="Kemi"/>
    <s v="April"/>
    <n v="0"/>
  </r>
  <r>
    <x v="408"/>
    <x v="44"/>
    <s v="KN-01"/>
    <x v="2"/>
    <x v="1"/>
    <x v="2"/>
    <x v="4"/>
    <s v="C1081"/>
    <s v="Returning"/>
    <n v="2"/>
    <n v="6500"/>
    <n v="0.1"/>
    <n v="11700"/>
    <n v="11700"/>
    <n v="0"/>
    <n v="2200"/>
    <n v="4400"/>
    <n v="7300"/>
    <s v="No"/>
    <s v="Bola"/>
    <s v="June"/>
    <n v="0"/>
  </r>
  <r>
    <x v="409"/>
    <x v="100"/>
    <s v="PH-01"/>
    <x v="4"/>
    <x v="0"/>
    <x v="1"/>
    <x v="2"/>
    <s v="C1104"/>
    <s v="Returning"/>
    <n v="1"/>
    <n v="32000"/>
    <n v="0.15"/>
    <n v="27200"/>
    <n v="27200"/>
    <n v="19000"/>
    <n v="19000"/>
    <n v="19000"/>
    <n v="8200"/>
    <s v="No"/>
    <s v="Grace"/>
    <s v="April"/>
    <n v="0"/>
  </r>
  <r>
    <x v="410"/>
    <x v="167"/>
    <s v="AB-01"/>
    <x v="0"/>
    <x v="1"/>
    <x v="0"/>
    <x v="0"/>
    <s v="C1154"/>
    <s v="Returning"/>
    <n v="2"/>
    <n v="58000"/>
    <n v="0.2"/>
    <n v="92800"/>
    <n v="92800"/>
    <n v="39000"/>
    <n v="39000"/>
    <n v="78000"/>
    <n v="14800"/>
    <s v="Yes"/>
    <s v="Kemi"/>
    <s v="February"/>
    <n v="1"/>
  </r>
  <r>
    <x v="411"/>
    <x v="88"/>
    <s v="IB-01"/>
    <x v="3"/>
    <x v="1"/>
    <x v="1"/>
    <x v="1"/>
    <s v="C1164"/>
    <s v="Returning"/>
    <n v="5"/>
    <n v="165000"/>
    <n v="0.1"/>
    <n v="742500"/>
    <n v="742500"/>
    <n v="112000"/>
    <n v="112000"/>
    <n v="560000"/>
    <n v="182500"/>
    <s v="No"/>
    <s v="Aisha"/>
    <s v="June"/>
    <n v="0"/>
  </r>
  <r>
    <x v="412"/>
    <x v="81"/>
    <s v="PH-01"/>
    <x v="4"/>
    <x v="2"/>
    <x v="0"/>
    <x v="0"/>
    <s v="C1113"/>
    <s v="New"/>
    <n v="2"/>
    <n v="58000"/>
    <n v="0"/>
    <n v="116000"/>
    <n v="116000"/>
    <n v="39000"/>
    <n v="39000"/>
    <n v="78000"/>
    <n v="38000"/>
    <s v="No"/>
    <s v="Chinedu"/>
    <s v="June"/>
    <n v="0"/>
  </r>
  <r>
    <x v="413"/>
    <x v="192"/>
    <s v="IB-01"/>
    <x v="3"/>
    <x v="2"/>
    <x v="0"/>
    <x v="5"/>
    <s v="C1061"/>
    <s v="Returning"/>
    <n v="1"/>
    <n v="42000"/>
    <n v="0.1"/>
    <n v="37800"/>
    <n v="37800"/>
    <n v="28000"/>
    <n v="28000"/>
    <n v="28000"/>
    <n v="9800"/>
    <s v="No"/>
    <s v="Aisha"/>
    <s v="March"/>
    <n v="0"/>
  </r>
  <r>
    <x v="414"/>
    <x v="158"/>
    <s v="LG-01"/>
    <x v="1"/>
    <x v="2"/>
    <x v="2"/>
    <x v="4"/>
    <s v="C1018"/>
    <s v="Returning"/>
    <n v="2"/>
    <n v="6500"/>
    <n v="0.05"/>
    <n v="12350"/>
    <n v="12350"/>
    <n v="2200"/>
    <n v="2200"/>
    <n v="4400"/>
    <n v="7950"/>
    <s v="No"/>
    <s v="Bola"/>
    <s v="April"/>
    <n v="0"/>
  </r>
  <r>
    <x v="415"/>
    <x v="8"/>
    <s v="PH-01"/>
    <x v="4"/>
    <x v="0"/>
    <x v="1"/>
    <x v="3"/>
    <s v="C1012"/>
    <s v="New"/>
    <n v="4"/>
    <n v="26000"/>
    <n v="0"/>
    <n v="104000"/>
    <n v="104000"/>
    <n v="15000"/>
    <n v="15000"/>
    <n v="60000"/>
    <n v="44000"/>
    <s v="Yes"/>
    <s v="David"/>
    <s v="January"/>
    <n v="1"/>
  </r>
  <r>
    <x v="416"/>
    <x v="80"/>
    <s v="PH-01"/>
    <x v="4"/>
    <x v="1"/>
    <x v="1"/>
    <x v="1"/>
    <s v="C1027"/>
    <s v="Returning"/>
    <n v="4"/>
    <n v="165000"/>
    <n v="0.1"/>
    <n v="594000"/>
    <n v="594000"/>
    <n v="112000"/>
    <n v="112000"/>
    <n v="448000"/>
    <n v="146000"/>
    <s v="No"/>
    <s v="Bola"/>
    <s v="February"/>
    <n v="0"/>
  </r>
  <r>
    <x v="417"/>
    <x v="152"/>
    <s v="PH-01"/>
    <x v="4"/>
    <x v="2"/>
    <x v="1"/>
    <x v="3"/>
    <s v="C1088"/>
    <s v="Returning"/>
    <n v="3"/>
    <n v="26000"/>
    <n v="0"/>
    <n v="78000"/>
    <n v="78000"/>
    <n v="15000"/>
    <n v="15000"/>
    <n v="45000"/>
    <n v="33000"/>
    <s v="No"/>
    <s v="Chinedu"/>
    <s v="July"/>
    <n v="0"/>
  </r>
  <r>
    <x v="418"/>
    <x v="60"/>
    <s v="PH-01"/>
    <x v="4"/>
    <x v="2"/>
    <x v="0"/>
    <x v="0"/>
    <s v="C1006"/>
    <s v="Returning"/>
    <n v="4"/>
    <n v="58000"/>
    <n v="0.05"/>
    <n v="220400"/>
    <n v="220400"/>
    <n v="39000"/>
    <n v="39000"/>
    <n v="156000"/>
    <n v="64400"/>
    <s v="No"/>
    <s v="Ibrahim"/>
    <s v="August"/>
    <n v="0"/>
  </r>
  <r>
    <x v="419"/>
    <x v="2"/>
    <s v="KN-01"/>
    <x v="2"/>
    <x v="0"/>
    <x v="1"/>
    <x v="1"/>
    <s v="C1089"/>
    <s v="Returning"/>
    <n v="2"/>
    <n v="165000"/>
    <n v="0.05"/>
    <n v="313500"/>
    <n v="313500"/>
    <n v="0"/>
    <n v="112000"/>
    <n v="224000"/>
    <n v="89500"/>
    <s v="No"/>
    <s v="Ibrahim"/>
    <s v="February"/>
    <n v="0"/>
  </r>
  <r>
    <x v="196"/>
    <x v="134"/>
    <s v="AB-01"/>
    <x v="0"/>
    <x v="1"/>
    <x v="2"/>
    <x v="6"/>
    <s v="C1152"/>
    <s v="Returning"/>
    <n v="1"/>
    <n v="9000"/>
    <n v="0.25"/>
    <n v="6750"/>
    <n v="6750"/>
    <n v="3500"/>
    <n v="3500"/>
    <n v="3500"/>
    <n v="3250"/>
    <s v="Yes"/>
    <s v="Kemi"/>
    <s v="August"/>
    <n v="1"/>
  </r>
  <r>
    <x v="195"/>
    <x v="133"/>
    <s v="LG-02"/>
    <x v="1"/>
    <x v="2"/>
    <x v="1"/>
    <x v="2"/>
    <s v="C1147"/>
    <s v="Returning"/>
    <n v="4"/>
    <n v="32000"/>
    <n v="0.1"/>
    <n v="115200"/>
    <n v="115200"/>
    <n v="19000"/>
    <n v="19000"/>
    <n v="76000"/>
    <n v="39200"/>
    <s v="No"/>
    <s v="Grace"/>
    <s v="February"/>
    <n v="0"/>
  </r>
  <r>
    <x v="303"/>
    <x v="112"/>
    <s v="KN-01"/>
    <x v="2"/>
    <x v="0"/>
    <x v="0"/>
    <x v="0"/>
    <s v="C1090"/>
    <s v="New"/>
    <n v="5"/>
    <n v="58000"/>
    <n v="0.1"/>
    <n v="261000"/>
    <n v="261000"/>
    <n v="39000"/>
    <n v="39000"/>
    <n v="195000"/>
    <n v="66000"/>
    <s v="No"/>
    <s v="Bola"/>
    <s v="July"/>
    <n v="0"/>
  </r>
  <r>
    <x v="305"/>
    <x v="122"/>
    <s v="PH-01"/>
    <x v="4"/>
    <x v="2"/>
    <x v="2"/>
    <x v="6"/>
    <s v="C1162"/>
    <s v="New"/>
    <n v="1"/>
    <n v="9000"/>
    <n v="0.15"/>
    <n v="7650"/>
    <n v="7650"/>
    <n v="3500"/>
    <n v="3500"/>
    <n v="3500"/>
    <n v="4150"/>
    <s v="No"/>
    <s v="Aisha"/>
    <s v="March"/>
    <n v="0"/>
  </r>
  <r>
    <x v="366"/>
    <x v="151"/>
    <s v="KN-01"/>
    <x v="2"/>
    <x v="2"/>
    <x v="2"/>
    <x v="6"/>
    <s v="C1187"/>
    <s v="Returning"/>
    <n v="2"/>
    <n v="9000"/>
    <n v="0"/>
    <n v="18000"/>
    <n v="18000"/>
    <n v="3500"/>
    <n v="3500"/>
    <n v="7000"/>
    <n v="11000"/>
    <s v="No"/>
    <s v="Kemi"/>
    <s v="July"/>
    <n v="0"/>
  </r>
  <r>
    <x v="251"/>
    <x v="152"/>
    <s v="KN-01"/>
    <x v="2"/>
    <x v="2"/>
    <x v="1"/>
    <x v="3"/>
    <s v="C1117"/>
    <s v="Returning"/>
    <n v="2"/>
    <n v="26000"/>
    <n v="0"/>
    <n v="52000"/>
    <n v="52000"/>
    <n v="15000"/>
    <n v="15000"/>
    <n v="30000"/>
    <n v="22000"/>
    <s v="No"/>
    <s v="David"/>
    <s v="July"/>
    <n v="0"/>
  </r>
  <r>
    <x v="275"/>
    <x v="13"/>
    <s v="LG-02"/>
    <x v="1"/>
    <x v="1"/>
    <x v="0"/>
    <x v="7"/>
    <s v="C1016"/>
    <s v="New"/>
    <n v="2"/>
    <n v="24000"/>
    <n v="0.1"/>
    <n v="43200"/>
    <n v="43200"/>
    <n v="15000"/>
    <n v="15000"/>
    <n v="30000"/>
    <n v="13200"/>
    <s v="No"/>
    <s v="David"/>
    <s v="June"/>
    <n v="0"/>
  </r>
  <r>
    <x v="394"/>
    <x v="38"/>
    <s v="KN-01"/>
    <x v="2"/>
    <x v="0"/>
    <x v="2"/>
    <x v="8"/>
    <s v="C1089"/>
    <s v="Returning"/>
    <n v="2"/>
    <n v="28000"/>
    <n v="0.05"/>
    <n v="53200"/>
    <n v="53200"/>
    <n v="16000"/>
    <n v="16000"/>
    <n v="32000"/>
    <n v="21200"/>
    <s v="No"/>
    <s v="Aisha"/>
    <s v="May"/>
    <n v="0"/>
  </r>
  <r>
    <x v="73"/>
    <x v="41"/>
    <s v="IB-01"/>
    <x v="3"/>
    <x v="2"/>
    <x v="2"/>
    <x v="4"/>
    <s v="C1043"/>
    <s v="New"/>
    <n v="4"/>
    <n v="6500"/>
    <n v="0.05"/>
    <n v="24700"/>
    <n v="24700"/>
    <n v="2200"/>
    <n v="2200"/>
    <n v="8800"/>
    <n v="15900"/>
    <s v="No"/>
    <s v="Chinedu"/>
    <s v="April"/>
    <n v="0"/>
  </r>
  <r>
    <x v="385"/>
    <x v="73"/>
    <s v="LG-01"/>
    <x v="1"/>
    <x v="0"/>
    <x v="2"/>
    <x v="6"/>
    <s v="C1068"/>
    <s v="New"/>
    <n v="3"/>
    <n v="9000"/>
    <n v="0"/>
    <n v="27000"/>
    <n v="27000"/>
    <n v="3500"/>
    <n v="3500"/>
    <n v="10500"/>
    <n v="16500"/>
    <s v="No"/>
    <s v="Ibrahim"/>
    <s v="January"/>
    <n v="0"/>
  </r>
  <r>
    <x v="60"/>
    <x v="50"/>
    <s v="LG-02"/>
    <x v="1"/>
    <x v="2"/>
    <x v="1"/>
    <x v="2"/>
    <s v="C1039"/>
    <s v="Returning"/>
    <n v="1"/>
    <n v="32000"/>
    <n v="0.15"/>
    <n v="27200"/>
    <n v="27200"/>
    <n v="19000"/>
    <n v="19000"/>
    <n v="19000"/>
    <n v="8200"/>
    <s v="No"/>
    <s v="Aisha"/>
    <s v="August"/>
    <n v="0"/>
  </r>
  <r>
    <x v="400"/>
    <x v="191"/>
    <s v="IB-01"/>
    <x v="3"/>
    <x v="1"/>
    <x v="1"/>
    <x v="1"/>
    <s v="C1158"/>
    <s v="Returning"/>
    <n v="3"/>
    <n v="165000"/>
    <n v="0"/>
    <n v="495000"/>
    <n v="495000"/>
    <n v="112000"/>
    <n v="112000"/>
    <n v="336000"/>
    <n v="159000"/>
    <s v="Yes"/>
    <s v="Fatima"/>
    <s v="May"/>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CDC5D6-6C2D-437A-BB49-4E692AEA0F61}" name="PivotTable14"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2:B36" firstHeaderRow="1" firstDataRow="1" firstDataCol="1"/>
  <pivotFields count="24">
    <pivotField showAll="0"/>
    <pivotField numFmtId="14" showAll="0">
      <items count="194">
        <item x="141"/>
        <item x="68"/>
        <item x="127"/>
        <item x="173"/>
        <item x="23"/>
        <item x="8"/>
        <item x="40"/>
        <item x="146"/>
        <item x="14"/>
        <item x="16"/>
        <item x="20"/>
        <item x="37"/>
        <item x="34"/>
        <item x="106"/>
        <item x="42"/>
        <item x="170"/>
        <item x="126"/>
        <item x="102"/>
        <item x="125"/>
        <item x="49"/>
        <item x="86"/>
        <item x="73"/>
        <item x="182"/>
        <item x="130"/>
        <item x="21"/>
        <item x="156"/>
        <item x="144"/>
        <item x="118"/>
        <item x="43"/>
        <item x="174"/>
        <item x="62"/>
        <item x="107"/>
        <item x="99"/>
        <item x="155"/>
        <item x="61"/>
        <item x="87"/>
        <item x="80"/>
        <item x="67"/>
        <item x="164"/>
        <item x="172"/>
        <item x="185"/>
        <item x="75"/>
        <item x="135"/>
        <item x="32"/>
        <item x="133"/>
        <item x="2"/>
        <item x="167"/>
        <item x="92"/>
        <item x="82"/>
        <item x="149"/>
        <item x="69"/>
        <item x="59"/>
        <item x="154"/>
        <item x="131"/>
        <item x="76"/>
        <item x="6"/>
        <item x="147"/>
        <item x="57"/>
        <item x="171"/>
        <item x="123"/>
        <item x="122"/>
        <item x="192"/>
        <item x="161"/>
        <item x="136"/>
        <item x="101"/>
        <item x="27"/>
        <item x="179"/>
        <item x="114"/>
        <item x="54"/>
        <item x="104"/>
        <item x="29"/>
        <item x="120"/>
        <item x="56"/>
        <item x="89"/>
        <item x="94"/>
        <item x="52"/>
        <item x="183"/>
        <item x="35"/>
        <item x="140"/>
        <item x="169"/>
        <item x="158"/>
        <item x="11"/>
        <item x="98"/>
        <item x="74"/>
        <item x="153"/>
        <item x="33"/>
        <item x="188"/>
        <item x="95"/>
        <item x="105"/>
        <item x="142"/>
        <item x="1"/>
        <item x="162"/>
        <item x="19"/>
        <item x="41"/>
        <item x="177"/>
        <item x="129"/>
        <item x="100"/>
        <item x="163"/>
        <item x="71"/>
        <item x="45"/>
        <item x="17"/>
        <item x="25"/>
        <item x="157"/>
        <item x="116"/>
        <item x="36"/>
        <item x="58"/>
        <item x="18"/>
        <item x="64"/>
        <item x="22"/>
        <item x="38"/>
        <item x="30"/>
        <item x="12"/>
        <item x="165"/>
        <item x="26"/>
        <item x="31"/>
        <item x="119"/>
        <item x="115"/>
        <item x="51"/>
        <item x="83"/>
        <item x="132"/>
        <item x="0"/>
        <item x="191"/>
        <item x="128"/>
        <item x="4"/>
        <item x="190"/>
        <item x="166"/>
        <item x="81"/>
        <item x="46"/>
        <item x="111"/>
        <item x="44"/>
        <item x="175"/>
        <item x="3"/>
        <item x="181"/>
        <item x="148"/>
        <item x="103"/>
        <item x="39"/>
        <item x="159"/>
        <item x="70"/>
        <item x="47"/>
        <item x="79"/>
        <item x="88"/>
        <item x="13"/>
        <item x="48"/>
        <item x="109"/>
        <item x="78"/>
        <item x="10"/>
        <item x="91"/>
        <item x="97"/>
        <item x="24"/>
        <item x="112"/>
        <item x="108"/>
        <item x="138"/>
        <item x="28"/>
        <item x="55"/>
        <item x="145"/>
        <item x="77"/>
        <item x="152"/>
        <item x="110"/>
        <item x="85"/>
        <item x="176"/>
        <item x="189"/>
        <item x="124"/>
        <item x="93"/>
        <item x="180"/>
        <item x="72"/>
        <item x="53"/>
        <item x="151"/>
        <item x="65"/>
        <item x="66"/>
        <item x="15"/>
        <item x="7"/>
        <item x="113"/>
        <item x="150"/>
        <item x="84"/>
        <item x="134"/>
        <item x="121"/>
        <item x="5"/>
        <item x="139"/>
        <item x="187"/>
        <item x="168"/>
        <item x="137"/>
        <item x="160"/>
        <item x="178"/>
        <item x="9"/>
        <item x="184"/>
        <item x="50"/>
        <item x="117"/>
        <item x="143"/>
        <item x="63"/>
        <item x="60"/>
        <item x="96"/>
        <item x="186"/>
        <item x="90"/>
        <item t="default"/>
      </items>
    </pivotField>
    <pivotField showAll="0"/>
    <pivotField showAll="0">
      <items count="6">
        <item x="0"/>
        <item x="3"/>
        <item x="2"/>
        <item x="1"/>
        <item x="4"/>
        <item t="default"/>
      </items>
    </pivotField>
    <pivotField axis="axisRow" showAll="0">
      <items count="4">
        <item x="2"/>
        <item x="1"/>
        <item x="0"/>
        <item t="default"/>
      </items>
    </pivotField>
    <pivotField showAll="0"/>
    <pivotField showAll="0"/>
    <pivotField showAll="0"/>
    <pivotField showAll="0"/>
    <pivotField showAll="0"/>
    <pivotField numFmtId="3" showAll="0"/>
    <pivotField numFmtId="9" showAll="0"/>
    <pivotField numFmtId="3" showAll="0"/>
    <pivotField numFmtId="3" showAll="0"/>
    <pivotField showAll="0"/>
    <pivotField numFmtId="3" showAll="0"/>
    <pivotField numFmtId="3" showAll="0"/>
    <pivotField numFmtId="3" showAll="0"/>
    <pivotField showAll="0"/>
    <pivotField showAll="0"/>
    <pivotField showAll="0"/>
    <pivotField dataField="1" numFmtId="166"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4">
    <i>
      <x/>
    </i>
    <i>
      <x v="1"/>
    </i>
    <i>
      <x v="2"/>
    </i>
    <i t="grand">
      <x/>
    </i>
  </rowItems>
  <colItems count="1">
    <i/>
  </colItems>
  <dataFields count="1">
    <dataField name="Returned Order" fld="21" baseField="0" baseItem="0" numFmtId="166"/>
  </dataFields>
  <formats count="6">
    <format dxfId="10">
      <pivotArea type="all" dataOnly="0" outline="0" fieldPosition="0"/>
    </format>
    <format dxfId="11">
      <pivotArea outline="0" collapsedLevelsAreSubtotals="1" fieldPosition="0"/>
    </format>
    <format dxfId="12">
      <pivotArea field="4" type="button" dataOnly="0" labelOnly="1" outline="0" axis="axisRow" fieldPosition="0"/>
    </format>
    <format dxfId="13">
      <pivotArea dataOnly="0" labelOnly="1" fieldPosition="0">
        <references count="1">
          <reference field="4" count="0"/>
        </references>
      </pivotArea>
    </format>
    <format dxfId="14">
      <pivotArea dataOnly="0" labelOnly="1" grandRow="1" outline="0" fieldPosition="0"/>
    </format>
    <format dxfId="15">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3F9467-A94C-4AC9-9674-8EDEC843E786}" name="PivotTable13"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6:B30" firstHeaderRow="1" firstDataRow="1" firstDataCol="1"/>
  <pivotFields count="24">
    <pivotField dataField="1" showAll="0"/>
    <pivotField numFmtId="14" showAll="0">
      <items count="194">
        <item x="141"/>
        <item x="68"/>
        <item x="127"/>
        <item x="173"/>
        <item x="23"/>
        <item x="8"/>
        <item x="40"/>
        <item x="146"/>
        <item x="14"/>
        <item x="16"/>
        <item x="20"/>
        <item x="37"/>
        <item x="34"/>
        <item x="106"/>
        <item x="42"/>
        <item x="170"/>
        <item x="126"/>
        <item x="102"/>
        <item x="125"/>
        <item x="49"/>
        <item x="86"/>
        <item x="73"/>
        <item x="182"/>
        <item x="130"/>
        <item x="21"/>
        <item x="156"/>
        <item x="144"/>
        <item x="118"/>
        <item x="43"/>
        <item x="174"/>
        <item x="62"/>
        <item x="107"/>
        <item x="99"/>
        <item x="155"/>
        <item x="61"/>
        <item x="87"/>
        <item x="80"/>
        <item x="67"/>
        <item x="164"/>
        <item x="172"/>
        <item x="185"/>
        <item x="75"/>
        <item x="135"/>
        <item x="32"/>
        <item x="133"/>
        <item x="2"/>
        <item x="167"/>
        <item x="92"/>
        <item x="82"/>
        <item x="149"/>
        <item x="69"/>
        <item x="59"/>
        <item x="154"/>
        <item x="131"/>
        <item x="76"/>
        <item x="6"/>
        <item x="147"/>
        <item x="57"/>
        <item x="171"/>
        <item x="123"/>
        <item x="122"/>
        <item x="192"/>
        <item x="161"/>
        <item x="136"/>
        <item x="101"/>
        <item x="27"/>
        <item x="179"/>
        <item x="114"/>
        <item x="54"/>
        <item x="104"/>
        <item x="29"/>
        <item x="120"/>
        <item x="56"/>
        <item x="89"/>
        <item x="94"/>
        <item x="52"/>
        <item x="183"/>
        <item x="35"/>
        <item x="140"/>
        <item x="169"/>
        <item x="158"/>
        <item x="11"/>
        <item x="98"/>
        <item x="74"/>
        <item x="153"/>
        <item x="33"/>
        <item x="188"/>
        <item x="95"/>
        <item x="105"/>
        <item x="142"/>
        <item x="1"/>
        <item x="162"/>
        <item x="19"/>
        <item x="41"/>
        <item x="177"/>
        <item x="129"/>
        <item x="100"/>
        <item x="163"/>
        <item x="71"/>
        <item x="45"/>
        <item x="17"/>
        <item x="25"/>
        <item x="157"/>
        <item x="116"/>
        <item x="36"/>
        <item x="58"/>
        <item x="18"/>
        <item x="64"/>
        <item x="22"/>
        <item x="38"/>
        <item x="30"/>
        <item x="12"/>
        <item x="165"/>
        <item x="26"/>
        <item x="31"/>
        <item x="119"/>
        <item x="115"/>
        <item x="51"/>
        <item x="83"/>
        <item x="132"/>
        <item x="0"/>
        <item x="191"/>
        <item x="128"/>
        <item x="4"/>
        <item x="190"/>
        <item x="166"/>
        <item x="81"/>
        <item x="46"/>
        <item x="111"/>
        <item x="44"/>
        <item x="175"/>
        <item x="3"/>
        <item x="181"/>
        <item x="148"/>
        <item x="103"/>
        <item x="39"/>
        <item x="159"/>
        <item x="70"/>
        <item x="47"/>
        <item x="79"/>
        <item x="88"/>
        <item x="13"/>
        <item x="48"/>
        <item x="109"/>
        <item x="78"/>
        <item x="10"/>
        <item x="91"/>
        <item x="97"/>
        <item x="24"/>
        <item x="112"/>
        <item x="108"/>
        <item x="138"/>
        <item x="28"/>
        <item x="55"/>
        <item x="145"/>
        <item x="77"/>
        <item x="152"/>
        <item x="110"/>
        <item x="85"/>
        <item x="176"/>
        <item x="189"/>
        <item x="124"/>
        <item x="93"/>
        <item x="180"/>
        <item x="72"/>
        <item x="53"/>
        <item x="151"/>
        <item x="65"/>
        <item x="66"/>
        <item x="15"/>
        <item x="7"/>
        <item x="113"/>
        <item x="150"/>
        <item x="84"/>
        <item x="134"/>
        <item x="121"/>
        <item x="5"/>
        <item x="139"/>
        <item x="187"/>
        <item x="168"/>
        <item x="137"/>
        <item x="160"/>
        <item x="178"/>
        <item x="9"/>
        <item x="184"/>
        <item x="50"/>
        <item x="117"/>
        <item x="143"/>
        <item x="63"/>
        <item x="60"/>
        <item x="96"/>
        <item x="186"/>
        <item x="90"/>
        <item t="default"/>
      </items>
    </pivotField>
    <pivotField showAll="0"/>
    <pivotField showAll="0">
      <items count="6">
        <item x="0"/>
        <item x="3"/>
        <item x="2"/>
        <item x="1"/>
        <item x="4"/>
        <item t="default"/>
      </items>
    </pivotField>
    <pivotField axis="axisRow" showAll="0">
      <items count="4">
        <item x="2"/>
        <item x="1"/>
        <item x="0"/>
        <item t="default"/>
      </items>
    </pivotField>
    <pivotField showAll="0"/>
    <pivotField showAll="0"/>
    <pivotField showAll="0"/>
    <pivotField showAll="0"/>
    <pivotField showAll="0"/>
    <pivotField numFmtId="3" showAll="0"/>
    <pivotField numFmtId="9" showAll="0"/>
    <pivotField numFmtId="3" showAll="0"/>
    <pivotField numFmtId="3" showAll="0"/>
    <pivotField showAll="0"/>
    <pivotField numFmtId="3" showAll="0"/>
    <pivotField numFmtId="3" showAll="0"/>
    <pivotField numFmtId="3" showAll="0"/>
    <pivotField showAll="0"/>
    <pivotField showAll="0"/>
    <pivotField showAll="0"/>
    <pivotField numFmtId="166"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4">
    <i>
      <x/>
    </i>
    <i>
      <x v="1"/>
    </i>
    <i>
      <x v="2"/>
    </i>
    <i t="grand">
      <x/>
    </i>
  </rowItems>
  <colItems count="1">
    <i/>
  </colItems>
  <dataFields count="1">
    <dataField name="Total Order" fld="0" subtotal="count" baseField="0" baseItem="0"/>
  </dataFields>
  <formats count="6">
    <format dxfId="16">
      <pivotArea type="all" dataOnly="0" outline="0" fieldPosition="0"/>
    </format>
    <format dxfId="17">
      <pivotArea outline="0" collapsedLevelsAreSubtotals="1" fieldPosition="0"/>
    </format>
    <format dxfId="18">
      <pivotArea field="4" type="button" dataOnly="0" labelOnly="1" outline="0" axis="axisRow" fieldPosition="0"/>
    </format>
    <format dxfId="19">
      <pivotArea dataOnly="0" labelOnly="1" fieldPosition="0">
        <references count="1">
          <reference field="4" count="0"/>
        </references>
      </pivotArea>
    </format>
    <format dxfId="20">
      <pivotArea dataOnly="0" labelOnly="1" grandRow="1" outline="0" fieldPosition="0"/>
    </format>
    <format dxfId="21">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32BA17F-561D-4305-9DE4-45EE818C4414}" name="PivotTable1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16:N17" firstHeaderRow="1" firstDataRow="1" firstDataCol="0"/>
  <pivotFields count="24">
    <pivotField showAll="0"/>
    <pivotField numFmtId="14" showAll="0">
      <items count="194">
        <item x="141"/>
        <item x="68"/>
        <item x="127"/>
        <item x="173"/>
        <item x="23"/>
        <item x="8"/>
        <item x="40"/>
        <item x="146"/>
        <item x="14"/>
        <item x="16"/>
        <item x="20"/>
        <item x="37"/>
        <item x="34"/>
        <item x="106"/>
        <item x="42"/>
        <item x="170"/>
        <item x="126"/>
        <item x="102"/>
        <item x="125"/>
        <item x="49"/>
        <item x="86"/>
        <item x="73"/>
        <item x="182"/>
        <item x="130"/>
        <item x="21"/>
        <item x="156"/>
        <item x="144"/>
        <item x="118"/>
        <item x="43"/>
        <item x="174"/>
        <item x="62"/>
        <item x="107"/>
        <item x="99"/>
        <item x="155"/>
        <item x="61"/>
        <item x="87"/>
        <item x="80"/>
        <item x="67"/>
        <item x="164"/>
        <item x="172"/>
        <item x="185"/>
        <item x="75"/>
        <item x="135"/>
        <item x="32"/>
        <item x="133"/>
        <item x="2"/>
        <item x="167"/>
        <item x="92"/>
        <item x="82"/>
        <item x="149"/>
        <item x="69"/>
        <item x="59"/>
        <item x="154"/>
        <item x="131"/>
        <item x="76"/>
        <item x="6"/>
        <item x="147"/>
        <item x="57"/>
        <item x="171"/>
        <item x="123"/>
        <item x="122"/>
        <item x="192"/>
        <item x="161"/>
        <item x="136"/>
        <item x="101"/>
        <item x="27"/>
        <item x="179"/>
        <item x="114"/>
        <item x="54"/>
        <item x="104"/>
        <item x="29"/>
        <item x="120"/>
        <item x="56"/>
        <item x="89"/>
        <item x="94"/>
        <item x="52"/>
        <item x="183"/>
        <item x="35"/>
        <item x="140"/>
        <item x="169"/>
        <item x="158"/>
        <item x="11"/>
        <item x="98"/>
        <item x="74"/>
        <item x="153"/>
        <item x="33"/>
        <item x="188"/>
        <item x="95"/>
        <item x="105"/>
        <item x="142"/>
        <item x="1"/>
        <item x="162"/>
        <item x="19"/>
        <item x="41"/>
        <item x="177"/>
        <item x="129"/>
        <item x="100"/>
        <item x="163"/>
        <item x="71"/>
        <item x="45"/>
        <item x="17"/>
        <item x="25"/>
        <item x="157"/>
        <item x="116"/>
        <item x="36"/>
        <item x="58"/>
        <item x="18"/>
        <item x="64"/>
        <item x="22"/>
        <item x="38"/>
        <item x="30"/>
        <item x="12"/>
        <item x="165"/>
        <item x="26"/>
        <item x="31"/>
        <item x="119"/>
        <item x="115"/>
        <item x="51"/>
        <item x="83"/>
        <item x="132"/>
        <item x="0"/>
        <item x="191"/>
        <item x="128"/>
        <item x="4"/>
        <item x="190"/>
        <item x="166"/>
        <item x="81"/>
        <item x="46"/>
        <item x="111"/>
        <item x="44"/>
        <item x="175"/>
        <item x="3"/>
        <item x="181"/>
        <item x="148"/>
        <item x="103"/>
        <item x="39"/>
        <item x="159"/>
        <item x="70"/>
        <item x="47"/>
        <item x="79"/>
        <item x="88"/>
        <item x="13"/>
        <item x="48"/>
        <item x="109"/>
        <item x="78"/>
        <item x="10"/>
        <item x="91"/>
        <item x="97"/>
        <item x="24"/>
        <item x="112"/>
        <item x="108"/>
        <item x="138"/>
        <item x="28"/>
        <item x="55"/>
        <item x="145"/>
        <item x="77"/>
        <item x="152"/>
        <item x="110"/>
        <item x="85"/>
        <item x="176"/>
        <item x="189"/>
        <item x="124"/>
        <item x="93"/>
        <item x="180"/>
        <item x="72"/>
        <item x="53"/>
        <item x="151"/>
        <item x="65"/>
        <item x="66"/>
        <item x="15"/>
        <item x="7"/>
        <item x="113"/>
        <item x="150"/>
        <item x="84"/>
        <item x="134"/>
        <item x="121"/>
        <item x="5"/>
        <item x="139"/>
        <item x="187"/>
        <item x="168"/>
        <item x="137"/>
        <item x="160"/>
        <item x="178"/>
        <item x="9"/>
        <item x="184"/>
        <item x="50"/>
        <item x="117"/>
        <item x="143"/>
        <item x="63"/>
        <item x="60"/>
        <item x="96"/>
        <item x="186"/>
        <item x="90"/>
        <item t="default"/>
      </items>
    </pivotField>
    <pivotField showAll="0"/>
    <pivotField showAll="0">
      <items count="6">
        <item x="0"/>
        <item x="3"/>
        <item x="2"/>
        <item x="1"/>
        <item x="4"/>
        <item t="default"/>
      </items>
    </pivotField>
    <pivotField showAll="0">
      <items count="4">
        <item x="2"/>
        <item x="1"/>
        <item x="0"/>
        <item t="default"/>
      </items>
    </pivotField>
    <pivotField showAll="0"/>
    <pivotField showAll="0"/>
    <pivotField showAll="0"/>
    <pivotField showAll="0"/>
    <pivotField dataField="1" showAll="0"/>
    <pivotField numFmtId="3" showAll="0"/>
    <pivotField numFmtId="9" showAll="0"/>
    <pivotField numFmtId="3" showAll="0"/>
    <pivotField numFmtId="3" showAll="0"/>
    <pivotField showAll="0"/>
    <pivotField numFmtId="3" showAll="0"/>
    <pivotField numFmtId="3" showAll="0"/>
    <pivotField numFmtId="3" showAll="0"/>
    <pivotField showAll="0"/>
    <pivotField showAll="0"/>
    <pivotField showAll="0"/>
    <pivotField numFmtId="166"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Units" fld="9" baseField="0" baseItem="0" numFmtId="166"/>
  </dataFields>
  <formats count="4">
    <format dxfId="24">
      <pivotArea type="all" dataOnly="0" outline="0" fieldPosition="0"/>
    </format>
    <format dxfId="25">
      <pivotArea dataOnly="0" labelOnly="1" outline="0" axis="axisValues" fieldPosition="0"/>
    </format>
    <format dxfId="23">
      <pivotArea outline="0" collapsedLevelsAreSubtotals="1" fieldPosition="0"/>
    </format>
    <format dxfId="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B975B4-8E74-4223-AB5E-8A2A58801FCB}" name="PivotTable11"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Category">
  <location ref="Q24:Q28" firstHeaderRow="1" firstDataRow="1" firstDataCol="1"/>
  <pivotFields count="24">
    <pivotField showAll="0">
      <items count="4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t="default"/>
      </items>
    </pivotField>
    <pivotField numFmtId="14" showAll="0">
      <items count="194">
        <item x="141"/>
        <item x="68"/>
        <item x="127"/>
        <item x="173"/>
        <item x="23"/>
        <item x="8"/>
        <item x="40"/>
        <item x="146"/>
        <item x="14"/>
        <item x="16"/>
        <item x="20"/>
        <item x="37"/>
        <item x="34"/>
        <item x="106"/>
        <item x="42"/>
        <item x="170"/>
        <item x="126"/>
        <item x="102"/>
        <item x="125"/>
        <item x="49"/>
        <item x="86"/>
        <item x="73"/>
        <item x="182"/>
        <item x="130"/>
        <item x="21"/>
        <item x="156"/>
        <item x="144"/>
        <item x="118"/>
        <item x="43"/>
        <item x="174"/>
        <item x="62"/>
        <item x="107"/>
        <item x="99"/>
        <item x="155"/>
        <item x="61"/>
        <item x="87"/>
        <item x="80"/>
        <item x="67"/>
        <item x="164"/>
        <item x="172"/>
        <item x="185"/>
        <item x="75"/>
        <item x="135"/>
        <item x="32"/>
        <item x="133"/>
        <item x="2"/>
        <item x="167"/>
        <item x="92"/>
        <item x="82"/>
        <item x="149"/>
        <item x="69"/>
        <item x="59"/>
        <item x="154"/>
        <item x="131"/>
        <item x="76"/>
        <item x="6"/>
        <item x="147"/>
        <item x="57"/>
        <item x="171"/>
        <item x="123"/>
        <item x="122"/>
        <item x="192"/>
        <item x="161"/>
        <item x="136"/>
        <item x="101"/>
        <item x="27"/>
        <item x="179"/>
        <item x="114"/>
        <item x="54"/>
        <item x="104"/>
        <item x="29"/>
        <item x="120"/>
        <item x="56"/>
        <item x="89"/>
        <item x="94"/>
        <item x="52"/>
        <item x="183"/>
        <item x="35"/>
        <item x="140"/>
        <item x="169"/>
        <item x="158"/>
        <item x="11"/>
        <item x="98"/>
        <item x="74"/>
        <item x="153"/>
        <item x="33"/>
        <item x="188"/>
        <item x="95"/>
        <item x="105"/>
        <item x="142"/>
        <item x="1"/>
        <item x="162"/>
        <item x="19"/>
        <item x="41"/>
        <item x="177"/>
        <item x="129"/>
        <item x="100"/>
        <item x="163"/>
        <item x="71"/>
        <item x="45"/>
        <item x="17"/>
        <item x="25"/>
        <item x="157"/>
        <item x="116"/>
        <item x="36"/>
        <item x="58"/>
        <item x="18"/>
        <item x="64"/>
        <item x="22"/>
        <item x="38"/>
        <item x="30"/>
        <item x="12"/>
        <item x="165"/>
        <item x="26"/>
        <item x="31"/>
        <item x="119"/>
        <item x="115"/>
        <item x="51"/>
        <item x="83"/>
        <item x="132"/>
        <item x="0"/>
        <item x="191"/>
        <item x="128"/>
        <item x="4"/>
        <item x="190"/>
        <item x="166"/>
        <item x="81"/>
        <item x="46"/>
        <item x="111"/>
        <item x="44"/>
        <item x="175"/>
        <item x="3"/>
        <item x="181"/>
        <item x="148"/>
        <item x="103"/>
        <item x="39"/>
        <item x="159"/>
        <item x="70"/>
        <item x="47"/>
        <item x="79"/>
        <item x="88"/>
        <item x="13"/>
        <item x="48"/>
        <item x="109"/>
        <item x="78"/>
        <item x="10"/>
        <item x="91"/>
        <item x="97"/>
        <item x="24"/>
        <item x="112"/>
        <item x="108"/>
        <item x="138"/>
        <item x="28"/>
        <item x="55"/>
        <item x="145"/>
        <item x="77"/>
        <item x="152"/>
        <item x="110"/>
        <item x="85"/>
        <item x="176"/>
        <item x="189"/>
        <item x="124"/>
        <item x="93"/>
        <item x="180"/>
        <item x="72"/>
        <item x="53"/>
        <item x="151"/>
        <item x="65"/>
        <item x="66"/>
        <item x="15"/>
        <item x="7"/>
        <item x="113"/>
        <item x="150"/>
        <item x="84"/>
        <item x="134"/>
        <item x="121"/>
        <item x="5"/>
        <item x="139"/>
        <item x="187"/>
        <item x="168"/>
        <item x="137"/>
        <item x="160"/>
        <item x="178"/>
        <item x="9"/>
        <item x="184"/>
        <item x="50"/>
        <item x="117"/>
        <item x="143"/>
        <item x="63"/>
        <item x="60"/>
        <item x="96"/>
        <item x="186"/>
        <item x="90"/>
        <item t="default"/>
      </items>
    </pivotField>
    <pivotField showAll="0"/>
    <pivotField showAll="0">
      <items count="6">
        <item x="0"/>
        <item x="3"/>
        <item x="2"/>
        <item x="1"/>
        <item x="4"/>
        <item t="default"/>
      </items>
    </pivotField>
    <pivotField showAll="0">
      <items count="4">
        <item x="2"/>
        <item x="1"/>
        <item x="0"/>
        <item t="default"/>
      </items>
    </pivotField>
    <pivotField axis="axisRow" showAll="0">
      <items count="4">
        <item x="2"/>
        <item x="1"/>
        <item x="0"/>
        <item t="default"/>
      </items>
    </pivotField>
    <pivotField showAll="0">
      <items count="10">
        <item x="8"/>
        <item x="5"/>
        <item x="2"/>
        <item x="7"/>
        <item x="6"/>
        <item x="3"/>
        <item x="1"/>
        <item x="0"/>
        <item x="4"/>
        <item t="default"/>
      </items>
    </pivotField>
    <pivotField showAll="0"/>
    <pivotField showAll="0"/>
    <pivotField showAll="0"/>
    <pivotField numFmtId="3" showAll="0"/>
    <pivotField numFmtId="9" showAll="0"/>
    <pivotField numFmtId="3" showAll="0"/>
    <pivotField numFmtId="3" showAll="0"/>
    <pivotField showAll="0"/>
    <pivotField numFmtId="3" showAll="0"/>
    <pivotField numFmtId="3" showAll="0"/>
    <pivotField numFmtId="3" showAll="0"/>
    <pivotField showAll="0"/>
    <pivotField showAll="0"/>
    <pivotField showAll="0"/>
    <pivotField numFmtId="166"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4">
    <i>
      <x/>
    </i>
    <i>
      <x v="1"/>
    </i>
    <i>
      <x v="2"/>
    </i>
    <i t="grand">
      <x/>
    </i>
  </rowItems>
  <colItems count="1">
    <i/>
  </colItems>
  <formats count="3">
    <format dxfId="26">
      <pivotArea type="all" dataOnly="0" outline="0" fieldPosition="0"/>
    </format>
    <format dxfId="27">
      <pivotArea outline="0" collapsedLevelsAreSubtotals="1" fieldPosition="0"/>
    </format>
    <format dxfId="2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05BDA3B-4C5C-4DA6-B900-8DC0479EC8C7}" name="PivotTable10"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e">
  <location ref="Q15:Q21" firstHeaderRow="1" firstDataRow="1" firstDataCol="1"/>
  <pivotFields count="24">
    <pivotField showAll="0">
      <items count="4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t="default"/>
      </items>
    </pivotField>
    <pivotField numFmtId="14" showAll="0">
      <items count="194">
        <item x="141"/>
        <item x="68"/>
        <item x="127"/>
        <item x="173"/>
        <item x="23"/>
        <item x="8"/>
        <item x="40"/>
        <item x="146"/>
        <item x="14"/>
        <item x="16"/>
        <item x="20"/>
        <item x="37"/>
        <item x="34"/>
        <item x="106"/>
        <item x="42"/>
        <item x="170"/>
        <item x="126"/>
        <item x="102"/>
        <item x="125"/>
        <item x="49"/>
        <item x="86"/>
        <item x="73"/>
        <item x="182"/>
        <item x="130"/>
        <item x="21"/>
        <item x="156"/>
        <item x="144"/>
        <item x="118"/>
        <item x="43"/>
        <item x="174"/>
        <item x="62"/>
        <item x="107"/>
        <item x="99"/>
        <item x="155"/>
        <item x="61"/>
        <item x="87"/>
        <item x="80"/>
        <item x="67"/>
        <item x="164"/>
        <item x="172"/>
        <item x="185"/>
        <item x="75"/>
        <item x="135"/>
        <item x="32"/>
        <item x="133"/>
        <item x="2"/>
        <item x="167"/>
        <item x="92"/>
        <item x="82"/>
        <item x="149"/>
        <item x="69"/>
        <item x="59"/>
        <item x="154"/>
        <item x="131"/>
        <item x="76"/>
        <item x="6"/>
        <item x="147"/>
        <item x="57"/>
        <item x="171"/>
        <item x="123"/>
        <item x="122"/>
        <item x="192"/>
        <item x="161"/>
        <item x="136"/>
        <item x="101"/>
        <item x="27"/>
        <item x="179"/>
        <item x="114"/>
        <item x="54"/>
        <item x="104"/>
        <item x="29"/>
        <item x="120"/>
        <item x="56"/>
        <item x="89"/>
        <item x="94"/>
        <item x="52"/>
        <item x="183"/>
        <item x="35"/>
        <item x="140"/>
        <item x="169"/>
        <item x="158"/>
        <item x="11"/>
        <item x="98"/>
        <item x="74"/>
        <item x="153"/>
        <item x="33"/>
        <item x="188"/>
        <item x="95"/>
        <item x="105"/>
        <item x="142"/>
        <item x="1"/>
        <item x="162"/>
        <item x="19"/>
        <item x="41"/>
        <item x="177"/>
        <item x="129"/>
        <item x="100"/>
        <item x="163"/>
        <item x="71"/>
        <item x="45"/>
        <item x="17"/>
        <item x="25"/>
        <item x="157"/>
        <item x="116"/>
        <item x="36"/>
        <item x="58"/>
        <item x="18"/>
        <item x="64"/>
        <item x="22"/>
        <item x="38"/>
        <item x="30"/>
        <item x="12"/>
        <item x="165"/>
        <item x="26"/>
        <item x="31"/>
        <item x="119"/>
        <item x="115"/>
        <item x="51"/>
        <item x="83"/>
        <item x="132"/>
        <item x="0"/>
        <item x="191"/>
        <item x="128"/>
        <item x="4"/>
        <item x="190"/>
        <item x="166"/>
        <item x="81"/>
        <item x="46"/>
        <item x="111"/>
        <item x="44"/>
        <item x="175"/>
        <item x="3"/>
        <item x="181"/>
        <item x="148"/>
        <item x="103"/>
        <item x="39"/>
        <item x="159"/>
        <item x="70"/>
        <item x="47"/>
        <item x="79"/>
        <item x="88"/>
        <item x="13"/>
        <item x="48"/>
        <item x="109"/>
        <item x="78"/>
        <item x="10"/>
        <item x="91"/>
        <item x="97"/>
        <item x="24"/>
        <item x="112"/>
        <item x="108"/>
        <item x="138"/>
        <item x="28"/>
        <item x="55"/>
        <item x="145"/>
        <item x="77"/>
        <item x="152"/>
        <item x="110"/>
        <item x="85"/>
        <item x="176"/>
        <item x="189"/>
        <item x="124"/>
        <item x="93"/>
        <item x="180"/>
        <item x="72"/>
        <item x="53"/>
        <item x="151"/>
        <item x="65"/>
        <item x="66"/>
        <item x="15"/>
        <item x="7"/>
        <item x="113"/>
        <item x="150"/>
        <item x="84"/>
        <item x="134"/>
        <item x="121"/>
        <item x="5"/>
        <item x="139"/>
        <item x="187"/>
        <item x="168"/>
        <item x="137"/>
        <item x="160"/>
        <item x="178"/>
        <item x="9"/>
        <item x="184"/>
        <item x="50"/>
        <item x="117"/>
        <item x="143"/>
        <item x="63"/>
        <item x="60"/>
        <item x="96"/>
        <item x="186"/>
        <item x="90"/>
        <item t="default"/>
      </items>
    </pivotField>
    <pivotField showAll="0"/>
    <pivotField axis="axisRow" showAll="0">
      <items count="6">
        <item x="0"/>
        <item x="3"/>
        <item x="2"/>
        <item x="1"/>
        <item x="4"/>
        <item t="default"/>
      </items>
    </pivotField>
    <pivotField showAll="0">
      <items count="4">
        <item x="2"/>
        <item x="1"/>
        <item x="0"/>
        <item t="default"/>
      </items>
    </pivotField>
    <pivotField showAll="0"/>
    <pivotField showAll="0"/>
    <pivotField showAll="0"/>
    <pivotField showAll="0"/>
    <pivotField showAll="0"/>
    <pivotField numFmtId="3" showAll="0"/>
    <pivotField numFmtId="9" showAll="0"/>
    <pivotField numFmtId="3" showAll="0"/>
    <pivotField numFmtId="3" showAll="0"/>
    <pivotField showAll="0"/>
    <pivotField numFmtId="3" showAll="0"/>
    <pivotField numFmtId="3" showAll="0"/>
    <pivotField numFmtId="3" showAll="0"/>
    <pivotField showAll="0"/>
    <pivotField showAll="0"/>
    <pivotField showAll="0"/>
    <pivotField numFmtId="166"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6">
    <i>
      <x/>
    </i>
    <i>
      <x v="1"/>
    </i>
    <i>
      <x v="2"/>
    </i>
    <i>
      <x v="3"/>
    </i>
    <i>
      <x v="4"/>
    </i>
    <i t="grand">
      <x/>
    </i>
  </rowItems>
  <colItems count="1">
    <i/>
  </colItems>
  <formats count="3">
    <format dxfId="29">
      <pivotArea type="all" dataOnly="0" outline="0" fieldPosition="0"/>
    </format>
    <format dxfId="30">
      <pivotArea outline="0" collapsedLevelsAreSubtotals="1" fieldPosition="0"/>
    </format>
    <format dxfId="3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CEAB0BE-2476-418F-AC10-AE3182263683}" name="PivotTable9"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s">
  <location ref="Q3:Q12" firstHeaderRow="1" firstDataRow="1" firstDataCol="1"/>
  <pivotFields count="24">
    <pivotField showAll="0">
      <items count="4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t="default"/>
      </items>
    </pivotField>
    <pivotField numFmtId="14" showAll="0">
      <items count="194">
        <item x="141"/>
        <item x="68"/>
        <item x="127"/>
        <item x="173"/>
        <item x="23"/>
        <item x="8"/>
        <item x="40"/>
        <item x="146"/>
        <item x="14"/>
        <item x="16"/>
        <item x="20"/>
        <item x="37"/>
        <item x="34"/>
        <item x="106"/>
        <item x="42"/>
        <item x="170"/>
        <item x="126"/>
        <item x="102"/>
        <item x="125"/>
        <item x="49"/>
        <item x="86"/>
        <item x="73"/>
        <item x="182"/>
        <item x="130"/>
        <item x="21"/>
        <item x="156"/>
        <item x="144"/>
        <item x="118"/>
        <item x="43"/>
        <item x="174"/>
        <item x="62"/>
        <item x="107"/>
        <item x="99"/>
        <item x="155"/>
        <item x="61"/>
        <item x="87"/>
        <item x="80"/>
        <item x="67"/>
        <item x="164"/>
        <item x="172"/>
        <item x="185"/>
        <item x="75"/>
        <item x="135"/>
        <item x="32"/>
        <item x="133"/>
        <item x="2"/>
        <item x="167"/>
        <item x="92"/>
        <item x="82"/>
        <item x="149"/>
        <item x="69"/>
        <item x="59"/>
        <item x="154"/>
        <item x="131"/>
        <item x="76"/>
        <item x="6"/>
        <item x="147"/>
        <item x="57"/>
        <item x="171"/>
        <item x="123"/>
        <item x="122"/>
        <item x="192"/>
        <item x="161"/>
        <item x="136"/>
        <item x="101"/>
        <item x="27"/>
        <item x="179"/>
        <item x="114"/>
        <item x="54"/>
        <item x="104"/>
        <item x="29"/>
        <item x="120"/>
        <item x="56"/>
        <item x="89"/>
        <item x="94"/>
        <item x="52"/>
        <item x="183"/>
        <item x="35"/>
        <item x="140"/>
        <item x="169"/>
        <item x="158"/>
        <item x="11"/>
        <item x="98"/>
        <item x="74"/>
        <item x="153"/>
        <item x="33"/>
        <item x="188"/>
        <item x="95"/>
        <item x="105"/>
        <item x="142"/>
        <item x="1"/>
        <item x="162"/>
        <item x="19"/>
        <item x="41"/>
        <item x="177"/>
        <item x="129"/>
        <item x="100"/>
        <item x="163"/>
        <item x="71"/>
        <item x="45"/>
        <item x="17"/>
        <item x="25"/>
        <item x="157"/>
        <item x="116"/>
        <item x="36"/>
        <item x="58"/>
        <item x="18"/>
        <item x="64"/>
        <item x="22"/>
        <item x="38"/>
        <item x="30"/>
        <item x="12"/>
        <item x="165"/>
        <item x="26"/>
        <item x="31"/>
        <item x="119"/>
        <item x="115"/>
        <item x="51"/>
        <item x="83"/>
        <item x="132"/>
        <item x="0"/>
        <item x="191"/>
        <item x="128"/>
        <item x="4"/>
        <item x="190"/>
        <item x="166"/>
        <item x="81"/>
        <item x="46"/>
        <item x="111"/>
        <item x="44"/>
        <item x="175"/>
        <item x="3"/>
        <item x="181"/>
        <item x="148"/>
        <item x="103"/>
        <item x="39"/>
        <item x="159"/>
        <item x="70"/>
        <item x="47"/>
        <item x="79"/>
        <item x="88"/>
        <item x="13"/>
        <item x="48"/>
        <item x="109"/>
        <item x="78"/>
        <item x="10"/>
        <item x="91"/>
        <item x="97"/>
        <item x="24"/>
        <item x="112"/>
        <item x="108"/>
        <item x="138"/>
        <item x="28"/>
        <item x="55"/>
        <item x="145"/>
        <item x="77"/>
        <item x="152"/>
        <item x="110"/>
        <item x="85"/>
        <item x="176"/>
        <item x="189"/>
        <item x="124"/>
        <item x="93"/>
        <item x="180"/>
        <item x="72"/>
        <item x="53"/>
        <item x="151"/>
        <item x="65"/>
        <item x="66"/>
        <item x="15"/>
        <item x="7"/>
        <item x="113"/>
        <item x="150"/>
        <item x="84"/>
        <item x="134"/>
        <item x="121"/>
        <item x="5"/>
        <item x="139"/>
        <item x="187"/>
        <item x="168"/>
        <item x="137"/>
        <item x="160"/>
        <item x="178"/>
        <item x="9"/>
        <item x="184"/>
        <item x="50"/>
        <item x="117"/>
        <item x="143"/>
        <item x="63"/>
        <item x="60"/>
        <item x="96"/>
        <item x="186"/>
        <item x="90"/>
        <item t="default"/>
      </items>
    </pivotField>
    <pivotField showAll="0"/>
    <pivotField showAll="0">
      <items count="6">
        <item x="0"/>
        <item x="3"/>
        <item x="2"/>
        <item x="1"/>
        <item x="4"/>
        <item t="default"/>
      </items>
    </pivotField>
    <pivotField showAll="0">
      <items count="4">
        <item x="2"/>
        <item x="1"/>
        <item x="0"/>
        <item t="default"/>
      </items>
    </pivotField>
    <pivotField showAll="0"/>
    <pivotField showAll="0"/>
    <pivotField showAll="0"/>
    <pivotField showAll="0"/>
    <pivotField showAll="0"/>
    <pivotField numFmtId="3" showAll="0"/>
    <pivotField numFmtId="9" showAll="0"/>
    <pivotField numFmtId="3" showAll="0"/>
    <pivotField numFmtId="3" showAll="0"/>
    <pivotField showAll="0"/>
    <pivotField numFmtId="3" showAll="0"/>
    <pivotField numFmtId="3" showAll="0"/>
    <pivotField numFmtId="3" showAll="0"/>
    <pivotField showAll="0"/>
    <pivotField showAll="0"/>
    <pivotField showAll="0"/>
    <pivotField numFmtId="166"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23"/>
  </rowFields>
  <rowItems count="9">
    <i>
      <x v="1"/>
    </i>
    <i>
      <x v="2"/>
    </i>
    <i>
      <x v="3"/>
    </i>
    <i>
      <x v="4"/>
    </i>
    <i>
      <x v="5"/>
    </i>
    <i>
      <x v="6"/>
    </i>
    <i>
      <x v="7"/>
    </i>
    <i>
      <x v="8"/>
    </i>
    <i t="grand">
      <x/>
    </i>
  </rowItems>
  <colItems count="1">
    <i/>
  </colItems>
  <formats count="3">
    <format dxfId="32">
      <pivotArea type="all" dataOnly="0" outline="0" fieldPosition="0"/>
    </format>
    <format dxfId="33">
      <pivotArea outline="0" collapsedLevelsAreSubtotals="1" fieldPosition="0"/>
    </format>
    <format dxfId="3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6C27D11-C507-4457-A54D-70086B97D678}" name="PivotTable8"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13:N14" firstHeaderRow="1" firstDataRow="1" firstDataCol="0"/>
  <pivotFields count="24">
    <pivotField dataField="1" showAll="0"/>
    <pivotField numFmtId="14" showAll="0">
      <items count="194">
        <item x="141"/>
        <item x="68"/>
        <item x="127"/>
        <item x="173"/>
        <item x="23"/>
        <item x="8"/>
        <item x="40"/>
        <item x="146"/>
        <item x="14"/>
        <item x="16"/>
        <item x="20"/>
        <item x="37"/>
        <item x="34"/>
        <item x="106"/>
        <item x="42"/>
        <item x="170"/>
        <item x="126"/>
        <item x="102"/>
        <item x="125"/>
        <item x="49"/>
        <item x="86"/>
        <item x="73"/>
        <item x="182"/>
        <item x="130"/>
        <item x="21"/>
        <item x="156"/>
        <item x="144"/>
        <item x="118"/>
        <item x="43"/>
        <item x="174"/>
        <item x="62"/>
        <item x="107"/>
        <item x="99"/>
        <item x="155"/>
        <item x="61"/>
        <item x="87"/>
        <item x="80"/>
        <item x="67"/>
        <item x="164"/>
        <item x="172"/>
        <item x="185"/>
        <item x="75"/>
        <item x="135"/>
        <item x="32"/>
        <item x="133"/>
        <item x="2"/>
        <item x="167"/>
        <item x="92"/>
        <item x="82"/>
        <item x="149"/>
        <item x="69"/>
        <item x="59"/>
        <item x="154"/>
        <item x="131"/>
        <item x="76"/>
        <item x="6"/>
        <item x="147"/>
        <item x="57"/>
        <item x="171"/>
        <item x="123"/>
        <item x="122"/>
        <item x="192"/>
        <item x="161"/>
        <item x="136"/>
        <item x="101"/>
        <item x="27"/>
        <item x="179"/>
        <item x="114"/>
        <item x="54"/>
        <item x="104"/>
        <item x="29"/>
        <item x="120"/>
        <item x="56"/>
        <item x="89"/>
        <item x="94"/>
        <item x="52"/>
        <item x="183"/>
        <item x="35"/>
        <item x="140"/>
        <item x="169"/>
        <item x="158"/>
        <item x="11"/>
        <item x="98"/>
        <item x="74"/>
        <item x="153"/>
        <item x="33"/>
        <item x="188"/>
        <item x="95"/>
        <item x="105"/>
        <item x="142"/>
        <item x="1"/>
        <item x="162"/>
        <item x="19"/>
        <item x="41"/>
        <item x="177"/>
        <item x="129"/>
        <item x="100"/>
        <item x="163"/>
        <item x="71"/>
        <item x="45"/>
        <item x="17"/>
        <item x="25"/>
        <item x="157"/>
        <item x="116"/>
        <item x="36"/>
        <item x="58"/>
        <item x="18"/>
        <item x="64"/>
        <item x="22"/>
        <item x="38"/>
        <item x="30"/>
        <item x="12"/>
        <item x="165"/>
        <item x="26"/>
        <item x="31"/>
        <item x="119"/>
        <item x="115"/>
        <item x="51"/>
        <item x="83"/>
        <item x="132"/>
        <item x="0"/>
        <item x="191"/>
        <item x="128"/>
        <item x="4"/>
        <item x="190"/>
        <item x="166"/>
        <item x="81"/>
        <item x="46"/>
        <item x="111"/>
        <item x="44"/>
        <item x="175"/>
        <item x="3"/>
        <item x="181"/>
        <item x="148"/>
        <item x="103"/>
        <item x="39"/>
        <item x="159"/>
        <item x="70"/>
        <item x="47"/>
        <item x="79"/>
        <item x="88"/>
        <item x="13"/>
        <item x="48"/>
        <item x="109"/>
        <item x="78"/>
        <item x="10"/>
        <item x="91"/>
        <item x="97"/>
        <item x="24"/>
        <item x="112"/>
        <item x="108"/>
        <item x="138"/>
        <item x="28"/>
        <item x="55"/>
        <item x="145"/>
        <item x="77"/>
        <item x="152"/>
        <item x="110"/>
        <item x="85"/>
        <item x="176"/>
        <item x="189"/>
        <item x="124"/>
        <item x="93"/>
        <item x="180"/>
        <item x="72"/>
        <item x="53"/>
        <item x="151"/>
        <item x="65"/>
        <item x="66"/>
        <item x="15"/>
        <item x="7"/>
        <item x="113"/>
        <item x="150"/>
        <item x="84"/>
        <item x="134"/>
        <item x="121"/>
        <item x="5"/>
        <item x="139"/>
        <item x="187"/>
        <item x="168"/>
        <item x="137"/>
        <item x="160"/>
        <item x="178"/>
        <item x="9"/>
        <item x="184"/>
        <item x="50"/>
        <item x="117"/>
        <item x="143"/>
        <item x="63"/>
        <item x="60"/>
        <item x="96"/>
        <item x="186"/>
        <item x="90"/>
        <item t="default"/>
      </items>
    </pivotField>
    <pivotField showAll="0"/>
    <pivotField showAll="0">
      <items count="6">
        <item x="0"/>
        <item x="3"/>
        <item x="2"/>
        <item x="1"/>
        <item x="4"/>
        <item t="default"/>
      </items>
    </pivotField>
    <pivotField showAll="0">
      <items count="4">
        <item x="2"/>
        <item x="1"/>
        <item x="0"/>
        <item t="default"/>
      </items>
    </pivotField>
    <pivotField showAll="0"/>
    <pivotField showAll="0"/>
    <pivotField showAll="0"/>
    <pivotField showAll="0"/>
    <pivotField showAll="0"/>
    <pivotField numFmtId="3" showAll="0"/>
    <pivotField numFmtId="9" showAll="0"/>
    <pivotField numFmtId="3" showAll="0"/>
    <pivotField numFmtId="3" showAll="0"/>
    <pivotField showAll="0"/>
    <pivotField numFmtId="3" showAll="0"/>
    <pivotField numFmtId="3" showAll="0"/>
    <pivotField numFmtId="3" showAll="0"/>
    <pivotField showAll="0"/>
    <pivotField showAll="0"/>
    <pivotField showAll="0"/>
    <pivotField numFmtId="166"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Total Order" fld="0" subtotal="count" baseField="0" baseItem="0"/>
  </dataFields>
  <formats count="3">
    <format dxfId="64">
      <pivotArea type="all" dataOnly="0" outline="0" fieldPosition="0"/>
    </format>
    <format dxfId="63">
      <pivotArea outline="0" collapsedLevelsAreSubtotals="1" fieldPosition="0"/>
    </format>
    <format dxfId="6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4E17E6B-4A37-44AB-84C2-5981911C0406}" name="PivotTable7"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10:N11" firstHeaderRow="1" firstDataRow="1" firstDataCol="0"/>
  <pivotFields count="24">
    <pivotField showAll="0"/>
    <pivotField numFmtId="14" showAll="0">
      <items count="194">
        <item x="141"/>
        <item x="68"/>
        <item x="127"/>
        <item x="173"/>
        <item x="23"/>
        <item x="8"/>
        <item x="40"/>
        <item x="146"/>
        <item x="14"/>
        <item x="16"/>
        <item x="20"/>
        <item x="37"/>
        <item x="34"/>
        <item x="106"/>
        <item x="42"/>
        <item x="170"/>
        <item x="126"/>
        <item x="102"/>
        <item x="125"/>
        <item x="49"/>
        <item x="86"/>
        <item x="73"/>
        <item x="182"/>
        <item x="130"/>
        <item x="21"/>
        <item x="156"/>
        <item x="144"/>
        <item x="118"/>
        <item x="43"/>
        <item x="174"/>
        <item x="62"/>
        <item x="107"/>
        <item x="99"/>
        <item x="155"/>
        <item x="61"/>
        <item x="87"/>
        <item x="80"/>
        <item x="67"/>
        <item x="164"/>
        <item x="172"/>
        <item x="185"/>
        <item x="75"/>
        <item x="135"/>
        <item x="32"/>
        <item x="133"/>
        <item x="2"/>
        <item x="167"/>
        <item x="92"/>
        <item x="82"/>
        <item x="149"/>
        <item x="69"/>
        <item x="59"/>
        <item x="154"/>
        <item x="131"/>
        <item x="76"/>
        <item x="6"/>
        <item x="147"/>
        <item x="57"/>
        <item x="171"/>
        <item x="123"/>
        <item x="122"/>
        <item x="192"/>
        <item x="161"/>
        <item x="136"/>
        <item x="101"/>
        <item x="27"/>
        <item x="179"/>
        <item x="114"/>
        <item x="54"/>
        <item x="104"/>
        <item x="29"/>
        <item x="120"/>
        <item x="56"/>
        <item x="89"/>
        <item x="94"/>
        <item x="52"/>
        <item x="183"/>
        <item x="35"/>
        <item x="140"/>
        <item x="169"/>
        <item x="158"/>
        <item x="11"/>
        <item x="98"/>
        <item x="74"/>
        <item x="153"/>
        <item x="33"/>
        <item x="188"/>
        <item x="95"/>
        <item x="105"/>
        <item x="142"/>
        <item x="1"/>
        <item x="162"/>
        <item x="19"/>
        <item x="41"/>
        <item x="177"/>
        <item x="129"/>
        <item x="100"/>
        <item x="163"/>
        <item x="71"/>
        <item x="45"/>
        <item x="17"/>
        <item x="25"/>
        <item x="157"/>
        <item x="116"/>
        <item x="36"/>
        <item x="58"/>
        <item x="18"/>
        <item x="64"/>
        <item x="22"/>
        <item x="38"/>
        <item x="30"/>
        <item x="12"/>
        <item x="165"/>
        <item x="26"/>
        <item x="31"/>
        <item x="119"/>
        <item x="115"/>
        <item x="51"/>
        <item x="83"/>
        <item x="132"/>
        <item x="0"/>
        <item x="191"/>
        <item x="128"/>
        <item x="4"/>
        <item x="190"/>
        <item x="166"/>
        <item x="81"/>
        <item x="46"/>
        <item x="111"/>
        <item x="44"/>
        <item x="175"/>
        <item x="3"/>
        <item x="181"/>
        <item x="148"/>
        <item x="103"/>
        <item x="39"/>
        <item x="159"/>
        <item x="70"/>
        <item x="47"/>
        <item x="79"/>
        <item x="88"/>
        <item x="13"/>
        <item x="48"/>
        <item x="109"/>
        <item x="78"/>
        <item x="10"/>
        <item x="91"/>
        <item x="97"/>
        <item x="24"/>
        <item x="112"/>
        <item x="108"/>
        <item x="138"/>
        <item x="28"/>
        <item x="55"/>
        <item x="145"/>
        <item x="77"/>
        <item x="152"/>
        <item x="110"/>
        <item x="85"/>
        <item x="176"/>
        <item x="189"/>
        <item x="124"/>
        <item x="93"/>
        <item x="180"/>
        <item x="72"/>
        <item x="53"/>
        <item x="151"/>
        <item x="65"/>
        <item x="66"/>
        <item x="15"/>
        <item x="7"/>
        <item x="113"/>
        <item x="150"/>
        <item x="84"/>
        <item x="134"/>
        <item x="121"/>
        <item x="5"/>
        <item x="139"/>
        <item x="187"/>
        <item x="168"/>
        <item x="137"/>
        <item x="160"/>
        <item x="178"/>
        <item x="9"/>
        <item x="184"/>
        <item x="50"/>
        <item x="117"/>
        <item x="143"/>
        <item x="63"/>
        <item x="60"/>
        <item x="96"/>
        <item x="186"/>
        <item x="90"/>
        <item t="default"/>
      </items>
    </pivotField>
    <pivotField showAll="0"/>
    <pivotField showAll="0">
      <items count="6">
        <item x="0"/>
        <item x="3"/>
        <item x="2"/>
        <item x="1"/>
        <item x="4"/>
        <item t="default"/>
      </items>
    </pivotField>
    <pivotField showAll="0">
      <items count="4">
        <item x="2"/>
        <item x="1"/>
        <item x="0"/>
        <item t="default"/>
      </items>
    </pivotField>
    <pivotField showAll="0"/>
    <pivotField showAll="0"/>
    <pivotField showAll="0"/>
    <pivotField showAll="0"/>
    <pivotField showAll="0"/>
    <pivotField numFmtId="3" showAll="0"/>
    <pivotField numFmtId="9" showAll="0"/>
    <pivotField numFmtId="3" showAll="0"/>
    <pivotField numFmtId="3" showAll="0"/>
    <pivotField showAll="0"/>
    <pivotField numFmtId="3" showAll="0"/>
    <pivotField dataField="1" numFmtId="3" showAll="0"/>
    <pivotField numFmtId="3" showAll="0"/>
    <pivotField showAll="0"/>
    <pivotField showAll="0"/>
    <pivotField showAll="0"/>
    <pivotField numFmtId="166"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Total Cost" fld="16" baseField="0" baseItem="0" numFmtId="3"/>
  </dataFields>
  <formats count="3">
    <format dxfId="61">
      <pivotArea type="all" dataOnly="0" outline="0" fieldPosition="0"/>
    </format>
    <format dxfId="60">
      <pivotArea outline="0" collapsedLevelsAreSubtotals="1" fieldPosition="0"/>
    </format>
    <format dxfId="5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F91D427-3A5E-40A9-8DA3-F5ACEEB6BE93}" name="PivotTable6"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7:N8" firstHeaderRow="1" firstDataRow="1" firstDataCol="0"/>
  <pivotFields count="24">
    <pivotField showAll="0"/>
    <pivotField numFmtId="14" showAll="0">
      <items count="194">
        <item x="141"/>
        <item x="68"/>
        <item x="127"/>
        <item x="173"/>
        <item x="23"/>
        <item x="8"/>
        <item x="40"/>
        <item x="146"/>
        <item x="14"/>
        <item x="16"/>
        <item x="20"/>
        <item x="37"/>
        <item x="34"/>
        <item x="106"/>
        <item x="42"/>
        <item x="170"/>
        <item x="126"/>
        <item x="102"/>
        <item x="125"/>
        <item x="49"/>
        <item x="86"/>
        <item x="73"/>
        <item x="182"/>
        <item x="130"/>
        <item x="21"/>
        <item x="156"/>
        <item x="144"/>
        <item x="118"/>
        <item x="43"/>
        <item x="174"/>
        <item x="62"/>
        <item x="107"/>
        <item x="99"/>
        <item x="155"/>
        <item x="61"/>
        <item x="87"/>
        <item x="80"/>
        <item x="67"/>
        <item x="164"/>
        <item x="172"/>
        <item x="185"/>
        <item x="75"/>
        <item x="135"/>
        <item x="32"/>
        <item x="133"/>
        <item x="2"/>
        <item x="167"/>
        <item x="92"/>
        <item x="82"/>
        <item x="149"/>
        <item x="69"/>
        <item x="59"/>
        <item x="154"/>
        <item x="131"/>
        <item x="76"/>
        <item x="6"/>
        <item x="147"/>
        <item x="57"/>
        <item x="171"/>
        <item x="123"/>
        <item x="122"/>
        <item x="192"/>
        <item x="161"/>
        <item x="136"/>
        <item x="101"/>
        <item x="27"/>
        <item x="179"/>
        <item x="114"/>
        <item x="54"/>
        <item x="104"/>
        <item x="29"/>
        <item x="120"/>
        <item x="56"/>
        <item x="89"/>
        <item x="94"/>
        <item x="52"/>
        <item x="183"/>
        <item x="35"/>
        <item x="140"/>
        <item x="169"/>
        <item x="158"/>
        <item x="11"/>
        <item x="98"/>
        <item x="74"/>
        <item x="153"/>
        <item x="33"/>
        <item x="188"/>
        <item x="95"/>
        <item x="105"/>
        <item x="142"/>
        <item x="1"/>
        <item x="162"/>
        <item x="19"/>
        <item x="41"/>
        <item x="177"/>
        <item x="129"/>
        <item x="100"/>
        <item x="163"/>
        <item x="71"/>
        <item x="45"/>
        <item x="17"/>
        <item x="25"/>
        <item x="157"/>
        <item x="116"/>
        <item x="36"/>
        <item x="58"/>
        <item x="18"/>
        <item x="64"/>
        <item x="22"/>
        <item x="38"/>
        <item x="30"/>
        <item x="12"/>
        <item x="165"/>
        <item x="26"/>
        <item x="31"/>
        <item x="119"/>
        <item x="115"/>
        <item x="51"/>
        <item x="83"/>
        <item x="132"/>
        <item x="0"/>
        <item x="191"/>
        <item x="128"/>
        <item x="4"/>
        <item x="190"/>
        <item x="166"/>
        <item x="81"/>
        <item x="46"/>
        <item x="111"/>
        <item x="44"/>
        <item x="175"/>
        <item x="3"/>
        <item x="181"/>
        <item x="148"/>
        <item x="103"/>
        <item x="39"/>
        <item x="159"/>
        <item x="70"/>
        <item x="47"/>
        <item x="79"/>
        <item x="88"/>
        <item x="13"/>
        <item x="48"/>
        <item x="109"/>
        <item x="78"/>
        <item x="10"/>
        <item x="91"/>
        <item x="97"/>
        <item x="24"/>
        <item x="112"/>
        <item x="108"/>
        <item x="138"/>
        <item x="28"/>
        <item x="55"/>
        <item x="145"/>
        <item x="77"/>
        <item x="152"/>
        <item x="110"/>
        <item x="85"/>
        <item x="176"/>
        <item x="189"/>
        <item x="124"/>
        <item x="93"/>
        <item x="180"/>
        <item x="72"/>
        <item x="53"/>
        <item x="151"/>
        <item x="65"/>
        <item x="66"/>
        <item x="15"/>
        <item x="7"/>
        <item x="113"/>
        <item x="150"/>
        <item x="84"/>
        <item x="134"/>
        <item x="121"/>
        <item x="5"/>
        <item x="139"/>
        <item x="187"/>
        <item x="168"/>
        <item x="137"/>
        <item x="160"/>
        <item x="178"/>
        <item x="9"/>
        <item x="184"/>
        <item x="50"/>
        <item x="117"/>
        <item x="143"/>
        <item x="63"/>
        <item x="60"/>
        <item x="96"/>
        <item x="186"/>
        <item x="90"/>
        <item t="default"/>
      </items>
    </pivotField>
    <pivotField showAll="0"/>
    <pivotField showAll="0">
      <items count="6">
        <item x="0"/>
        <item x="3"/>
        <item x="2"/>
        <item x="1"/>
        <item x="4"/>
        <item t="default"/>
      </items>
    </pivotField>
    <pivotField showAll="0">
      <items count="4">
        <item x="2"/>
        <item x="1"/>
        <item x="0"/>
        <item t="default"/>
      </items>
    </pivotField>
    <pivotField showAll="0"/>
    <pivotField showAll="0"/>
    <pivotField showAll="0"/>
    <pivotField showAll="0"/>
    <pivotField showAll="0"/>
    <pivotField numFmtId="3" showAll="0"/>
    <pivotField numFmtId="9" showAll="0"/>
    <pivotField numFmtId="3" showAll="0"/>
    <pivotField numFmtId="3" showAll="0"/>
    <pivotField showAll="0"/>
    <pivotField numFmtId="3" showAll="0"/>
    <pivotField numFmtId="3" showAll="0"/>
    <pivotField dataField="1" numFmtId="3" showAll="0"/>
    <pivotField showAll="0"/>
    <pivotField showAll="0"/>
    <pivotField showAll="0"/>
    <pivotField numFmtId="166"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Total Profit" fld="17" baseField="0" baseItem="0" numFmtId="3"/>
  </dataFields>
  <formats count="3">
    <format dxfId="58">
      <pivotArea type="all" dataOnly="0" outline="0" fieldPosition="0"/>
    </format>
    <format dxfId="57">
      <pivotArea outline="0" collapsedLevelsAreSubtotals="1" fieldPosition="0"/>
    </format>
    <format dxfId="5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4983345-3279-4676-AF49-DDB1768BDCD0}" name="PivotTable5"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3:N4" firstHeaderRow="1" firstDataRow="1" firstDataCol="0"/>
  <pivotFields count="24">
    <pivotField showAll="0"/>
    <pivotField numFmtId="14" showAll="0">
      <items count="194">
        <item x="141"/>
        <item x="68"/>
        <item x="127"/>
        <item x="173"/>
        <item x="23"/>
        <item x="8"/>
        <item x="40"/>
        <item x="146"/>
        <item x="14"/>
        <item x="16"/>
        <item x="20"/>
        <item x="37"/>
        <item x="34"/>
        <item x="106"/>
        <item x="42"/>
        <item x="170"/>
        <item x="126"/>
        <item x="102"/>
        <item x="125"/>
        <item x="49"/>
        <item x="86"/>
        <item x="73"/>
        <item x="182"/>
        <item x="130"/>
        <item x="21"/>
        <item x="156"/>
        <item x="144"/>
        <item x="118"/>
        <item x="43"/>
        <item x="174"/>
        <item x="62"/>
        <item x="107"/>
        <item x="99"/>
        <item x="155"/>
        <item x="61"/>
        <item x="87"/>
        <item x="80"/>
        <item x="67"/>
        <item x="164"/>
        <item x="172"/>
        <item x="185"/>
        <item x="75"/>
        <item x="135"/>
        <item x="32"/>
        <item x="133"/>
        <item x="2"/>
        <item x="167"/>
        <item x="92"/>
        <item x="82"/>
        <item x="149"/>
        <item x="69"/>
        <item x="59"/>
        <item x="154"/>
        <item x="131"/>
        <item x="76"/>
        <item x="6"/>
        <item x="147"/>
        <item x="57"/>
        <item x="171"/>
        <item x="123"/>
        <item x="122"/>
        <item x="192"/>
        <item x="161"/>
        <item x="136"/>
        <item x="101"/>
        <item x="27"/>
        <item x="179"/>
        <item x="114"/>
        <item x="54"/>
        <item x="104"/>
        <item x="29"/>
        <item x="120"/>
        <item x="56"/>
        <item x="89"/>
        <item x="94"/>
        <item x="52"/>
        <item x="183"/>
        <item x="35"/>
        <item x="140"/>
        <item x="169"/>
        <item x="158"/>
        <item x="11"/>
        <item x="98"/>
        <item x="74"/>
        <item x="153"/>
        <item x="33"/>
        <item x="188"/>
        <item x="95"/>
        <item x="105"/>
        <item x="142"/>
        <item x="1"/>
        <item x="162"/>
        <item x="19"/>
        <item x="41"/>
        <item x="177"/>
        <item x="129"/>
        <item x="100"/>
        <item x="163"/>
        <item x="71"/>
        <item x="45"/>
        <item x="17"/>
        <item x="25"/>
        <item x="157"/>
        <item x="116"/>
        <item x="36"/>
        <item x="58"/>
        <item x="18"/>
        <item x="64"/>
        <item x="22"/>
        <item x="38"/>
        <item x="30"/>
        <item x="12"/>
        <item x="165"/>
        <item x="26"/>
        <item x="31"/>
        <item x="119"/>
        <item x="115"/>
        <item x="51"/>
        <item x="83"/>
        <item x="132"/>
        <item x="0"/>
        <item x="191"/>
        <item x="128"/>
        <item x="4"/>
        <item x="190"/>
        <item x="166"/>
        <item x="81"/>
        <item x="46"/>
        <item x="111"/>
        <item x="44"/>
        <item x="175"/>
        <item x="3"/>
        <item x="181"/>
        <item x="148"/>
        <item x="103"/>
        <item x="39"/>
        <item x="159"/>
        <item x="70"/>
        <item x="47"/>
        <item x="79"/>
        <item x="88"/>
        <item x="13"/>
        <item x="48"/>
        <item x="109"/>
        <item x="78"/>
        <item x="10"/>
        <item x="91"/>
        <item x="97"/>
        <item x="24"/>
        <item x="112"/>
        <item x="108"/>
        <item x="138"/>
        <item x="28"/>
        <item x="55"/>
        <item x="145"/>
        <item x="77"/>
        <item x="152"/>
        <item x="110"/>
        <item x="85"/>
        <item x="176"/>
        <item x="189"/>
        <item x="124"/>
        <item x="93"/>
        <item x="180"/>
        <item x="72"/>
        <item x="53"/>
        <item x="151"/>
        <item x="65"/>
        <item x="66"/>
        <item x="15"/>
        <item x="7"/>
        <item x="113"/>
        <item x="150"/>
        <item x="84"/>
        <item x="134"/>
        <item x="121"/>
        <item x="5"/>
        <item x="139"/>
        <item x="187"/>
        <item x="168"/>
        <item x="137"/>
        <item x="160"/>
        <item x="178"/>
        <item x="9"/>
        <item x="184"/>
        <item x="50"/>
        <item x="117"/>
        <item x="143"/>
        <item x="63"/>
        <item x="60"/>
        <item x="96"/>
        <item x="186"/>
        <item x="90"/>
        <item t="default"/>
      </items>
    </pivotField>
    <pivotField showAll="0"/>
    <pivotField showAll="0">
      <items count="6">
        <item x="0"/>
        <item x="3"/>
        <item x="2"/>
        <item x="1"/>
        <item x="4"/>
        <item t="default"/>
      </items>
    </pivotField>
    <pivotField showAll="0">
      <items count="4">
        <item x="2"/>
        <item x="1"/>
        <item x="0"/>
        <item t="default"/>
      </items>
    </pivotField>
    <pivotField showAll="0"/>
    <pivotField showAll="0"/>
    <pivotField showAll="0"/>
    <pivotField showAll="0"/>
    <pivotField showAll="0"/>
    <pivotField numFmtId="3" showAll="0"/>
    <pivotField numFmtId="9" showAll="0"/>
    <pivotField numFmtId="3" showAll="0"/>
    <pivotField dataField="1" numFmtId="3" showAll="0"/>
    <pivotField showAll="0"/>
    <pivotField numFmtId="3" showAll="0"/>
    <pivotField numFmtId="3" showAll="0"/>
    <pivotField numFmtId="3" showAll="0"/>
    <pivotField showAll="0"/>
    <pivotField showAll="0"/>
    <pivotField showAll="0"/>
    <pivotField numFmtId="166"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Total Revenue" fld="13" baseField="0" baseItem="0" numFmtId="3"/>
  </dataFields>
  <formats count="3">
    <format dxfId="55">
      <pivotArea type="all" dataOnly="0" outline="0" fieldPosition="0"/>
    </format>
    <format dxfId="54">
      <pivotArea outline="0" collapsedLevelsAreSubtotals="1" fieldPosition="0"/>
    </format>
    <format dxfId="5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6EC0258-3C83-42A3-86EB-2240A8DAEEAA}" name="PivotTable4"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9:B48" firstHeaderRow="1" firstDataRow="1" firstDataCol="1"/>
  <pivotFields count="24">
    <pivotField showAll="0"/>
    <pivotField numFmtId="14" showAll="0">
      <items count="194">
        <item x="141"/>
        <item x="68"/>
        <item x="127"/>
        <item x="173"/>
        <item x="23"/>
        <item x="8"/>
        <item x="40"/>
        <item x="146"/>
        <item x="14"/>
        <item x="16"/>
        <item x="20"/>
        <item x="37"/>
        <item x="34"/>
        <item x="106"/>
        <item x="42"/>
        <item x="170"/>
        <item x="126"/>
        <item x="102"/>
        <item x="125"/>
        <item x="49"/>
        <item x="86"/>
        <item x="73"/>
        <item x="182"/>
        <item x="130"/>
        <item x="21"/>
        <item x="156"/>
        <item x="144"/>
        <item x="118"/>
        <item x="43"/>
        <item x="174"/>
        <item x="62"/>
        <item x="107"/>
        <item x="99"/>
        <item x="155"/>
        <item x="61"/>
        <item x="87"/>
        <item x="80"/>
        <item x="67"/>
        <item x="164"/>
        <item x="172"/>
        <item x="185"/>
        <item x="75"/>
        <item x="135"/>
        <item x="32"/>
        <item x="133"/>
        <item x="2"/>
        <item x="167"/>
        <item x="92"/>
        <item x="82"/>
        <item x="149"/>
        <item x="69"/>
        <item x="59"/>
        <item x="154"/>
        <item x="131"/>
        <item x="76"/>
        <item x="6"/>
        <item x="147"/>
        <item x="57"/>
        <item x="171"/>
        <item x="123"/>
        <item x="122"/>
        <item x="192"/>
        <item x="161"/>
        <item x="136"/>
        <item x="101"/>
        <item x="27"/>
        <item x="179"/>
        <item x="114"/>
        <item x="54"/>
        <item x="104"/>
        <item x="29"/>
        <item x="120"/>
        <item x="56"/>
        <item x="89"/>
        <item x="94"/>
        <item x="52"/>
        <item x="183"/>
        <item x="35"/>
        <item x="140"/>
        <item x="169"/>
        <item x="158"/>
        <item x="11"/>
        <item x="98"/>
        <item x="74"/>
        <item x="153"/>
        <item x="33"/>
        <item x="188"/>
        <item x="95"/>
        <item x="105"/>
        <item x="142"/>
        <item x="1"/>
        <item x="162"/>
        <item x="19"/>
        <item x="41"/>
        <item x="177"/>
        <item x="129"/>
        <item x="100"/>
        <item x="163"/>
        <item x="71"/>
        <item x="45"/>
        <item x="17"/>
        <item x="25"/>
        <item x="157"/>
        <item x="116"/>
        <item x="36"/>
        <item x="58"/>
        <item x="18"/>
        <item x="64"/>
        <item x="22"/>
        <item x="38"/>
        <item x="30"/>
        <item x="12"/>
        <item x="165"/>
        <item x="26"/>
        <item x="31"/>
        <item x="119"/>
        <item x="115"/>
        <item x="51"/>
        <item x="83"/>
        <item x="132"/>
        <item x="0"/>
        <item x="191"/>
        <item x="128"/>
        <item x="4"/>
        <item x="190"/>
        <item x="166"/>
        <item x="81"/>
        <item x="46"/>
        <item x="111"/>
        <item x="44"/>
        <item x="175"/>
        <item x="3"/>
        <item x="181"/>
        <item x="148"/>
        <item x="103"/>
        <item x="39"/>
        <item x="159"/>
        <item x="70"/>
        <item x="47"/>
        <item x="79"/>
        <item x="88"/>
        <item x="13"/>
        <item x="48"/>
        <item x="109"/>
        <item x="78"/>
        <item x="10"/>
        <item x="91"/>
        <item x="97"/>
        <item x="24"/>
        <item x="112"/>
        <item x="108"/>
        <item x="138"/>
        <item x="28"/>
        <item x="55"/>
        <item x="145"/>
        <item x="77"/>
        <item x="152"/>
        <item x="110"/>
        <item x="85"/>
        <item x="176"/>
        <item x="189"/>
        <item x="124"/>
        <item x="93"/>
        <item x="180"/>
        <item x="72"/>
        <item x="53"/>
        <item x="151"/>
        <item x="65"/>
        <item x="66"/>
        <item x="15"/>
        <item x="7"/>
        <item x="113"/>
        <item x="150"/>
        <item x="84"/>
        <item x="134"/>
        <item x="121"/>
        <item x="5"/>
        <item x="139"/>
        <item x="187"/>
        <item x="168"/>
        <item x="137"/>
        <item x="160"/>
        <item x="178"/>
        <item x="9"/>
        <item x="184"/>
        <item x="50"/>
        <item x="117"/>
        <item x="143"/>
        <item x="63"/>
        <item x="60"/>
        <item x="96"/>
        <item x="186"/>
        <item x="90"/>
        <item t="default"/>
      </items>
    </pivotField>
    <pivotField showAll="0"/>
    <pivotField showAll="0">
      <items count="6">
        <item x="0"/>
        <item x="3"/>
        <item x="2"/>
        <item x="1"/>
        <item x="4"/>
        <item t="default"/>
      </items>
    </pivotField>
    <pivotField showAll="0">
      <items count="4">
        <item x="2"/>
        <item x="1"/>
        <item x="0"/>
        <item t="default"/>
      </items>
    </pivotField>
    <pivotField showAll="0"/>
    <pivotField showAll="0"/>
    <pivotField showAll="0"/>
    <pivotField showAll="0"/>
    <pivotField showAll="0"/>
    <pivotField numFmtId="3" showAll="0"/>
    <pivotField numFmtId="9" showAll="0"/>
    <pivotField numFmtId="3" showAll="0"/>
    <pivotField dataField="1" numFmtId="3" showAll="0"/>
    <pivotField showAll="0"/>
    <pivotField numFmtId="3" showAll="0"/>
    <pivotField numFmtId="3" showAll="0"/>
    <pivotField numFmtId="3" showAll="0"/>
    <pivotField showAll="0"/>
    <pivotField showAll="0"/>
    <pivotField showAll="0"/>
    <pivotField numFmtId="166"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23"/>
  </rowFields>
  <rowItems count="9">
    <i>
      <x v="1"/>
    </i>
    <i>
      <x v="2"/>
    </i>
    <i>
      <x v="3"/>
    </i>
    <i>
      <x v="4"/>
    </i>
    <i>
      <x v="5"/>
    </i>
    <i>
      <x v="6"/>
    </i>
    <i>
      <x v="7"/>
    </i>
    <i>
      <x v="8"/>
    </i>
    <i t="grand">
      <x/>
    </i>
  </rowItems>
  <colItems count="1">
    <i/>
  </colItems>
  <dataFields count="1">
    <dataField name="Revenue" fld="13" baseField="0" baseItem="0" numFmtId="3"/>
  </dataFields>
  <formats count="6">
    <format dxfId="52">
      <pivotArea type="all" dataOnly="0" outline="0" fieldPosition="0"/>
    </format>
    <format dxfId="51">
      <pivotArea outline="0" collapsedLevelsAreSubtotals="1" fieldPosition="0"/>
    </format>
    <format dxfId="50">
      <pivotArea field="23" type="button" dataOnly="0" labelOnly="1" outline="0" axis="axisRow" fieldPosition="0"/>
    </format>
    <format dxfId="49">
      <pivotArea dataOnly="0" labelOnly="1" fieldPosition="0">
        <references count="1">
          <reference field="23" count="8">
            <x v="1"/>
            <x v="2"/>
            <x v="3"/>
            <x v="4"/>
            <x v="5"/>
            <x v="6"/>
            <x v="7"/>
            <x v="8"/>
          </reference>
        </references>
      </pivotArea>
    </format>
    <format dxfId="48">
      <pivotArea dataOnly="0" labelOnly="1" grandRow="1" outline="0" fieldPosition="0"/>
    </format>
    <format dxfId="4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7666E17-7CDD-4055-AD4C-ECEE7C65D792}" name="PivotTable3"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hannel">
  <location ref="A19:C23" firstHeaderRow="0" firstDataRow="1" firstDataCol="1"/>
  <pivotFields count="24">
    <pivotField dataField="1" showAll="0"/>
    <pivotField numFmtId="14" showAll="0">
      <items count="194">
        <item x="141"/>
        <item x="68"/>
        <item x="127"/>
        <item x="173"/>
        <item x="23"/>
        <item x="8"/>
        <item x="40"/>
        <item x="146"/>
        <item x="14"/>
        <item x="16"/>
        <item x="20"/>
        <item x="37"/>
        <item x="34"/>
        <item x="106"/>
        <item x="42"/>
        <item x="170"/>
        <item x="126"/>
        <item x="102"/>
        <item x="125"/>
        <item x="49"/>
        <item x="86"/>
        <item x="73"/>
        <item x="182"/>
        <item x="130"/>
        <item x="21"/>
        <item x="156"/>
        <item x="144"/>
        <item x="118"/>
        <item x="43"/>
        <item x="174"/>
        <item x="62"/>
        <item x="107"/>
        <item x="99"/>
        <item x="155"/>
        <item x="61"/>
        <item x="87"/>
        <item x="80"/>
        <item x="67"/>
        <item x="164"/>
        <item x="172"/>
        <item x="185"/>
        <item x="75"/>
        <item x="135"/>
        <item x="32"/>
        <item x="133"/>
        <item x="2"/>
        <item x="167"/>
        <item x="92"/>
        <item x="82"/>
        <item x="149"/>
        <item x="69"/>
        <item x="59"/>
        <item x="154"/>
        <item x="131"/>
        <item x="76"/>
        <item x="6"/>
        <item x="147"/>
        <item x="57"/>
        <item x="171"/>
        <item x="123"/>
        <item x="122"/>
        <item x="192"/>
        <item x="161"/>
        <item x="136"/>
        <item x="101"/>
        <item x="27"/>
        <item x="179"/>
        <item x="114"/>
        <item x="54"/>
        <item x="104"/>
        <item x="29"/>
        <item x="120"/>
        <item x="56"/>
        <item x="89"/>
        <item x="94"/>
        <item x="52"/>
        <item x="183"/>
        <item x="35"/>
        <item x="140"/>
        <item x="169"/>
        <item x="158"/>
        <item x="11"/>
        <item x="98"/>
        <item x="74"/>
        <item x="153"/>
        <item x="33"/>
        <item x="188"/>
        <item x="95"/>
        <item x="105"/>
        <item x="142"/>
        <item x="1"/>
        <item x="162"/>
        <item x="19"/>
        <item x="41"/>
        <item x="177"/>
        <item x="129"/>
        <item x="100"/>
        <item x="163"/>
        <item x="71"/>
        <item x="45"/>
        <item x="17"/>
        <item x="25"/>
        <item x="157"/>
        <item x="116"/>
        <item x="36"/>
        <item x="58"/>
        <item x="18"/>
        <item x="64"/>
        <item x="22"/>
        <item x="38"/>
        <item x="30"/>
        <item x="12"/>
        <item x="165"/>
        <item x="26"/>
        <item x="31"/>
        <item x="119"/>
        <item x="115"/>
        <item x="51"/>
        <item x="83"/>
        <item x="132"/>
        <item x="0"/>
        <item x="191"/>
        <item x="128"/>
        <item x="4"/>
        <item x="190"/>
        <item x="166"/>
        <item x="81"/>
        <item x="46"/>
        <item x="111"/>
        <item x="44"/>
        <item x="175"/>
        <item x="3"/>
        <item x="181"/>
        <item x="148"/>
        <item x="103"/>
        <item x="39"/>
        <item x="159"/>
        <item x="70"/>
        <item x="47"/>
        <item x="79"/>
        <item x="88"/>
        <item x="13"/>
        <item x="48"/>
        <item x="109"/>
        <item x="78"/>
        <item x="10"/>
        <item x="91"/>
        <item x="97"/>
        <item x="24"/>
        <item x="112"/>
        <item x="108"/>
        <item x="138"/>
        <item x="28"/>
        <item x="55"/>
        <item x="145"/>
        <item x="77"/>
        <item x="152"/>
        <item x="110"/>
        <item x="85"/>
        <item x="176"/>
        <item x="189"/>
        <item x="124"/>
        <item x="93"/>
        <item x="180"/>
        <item x="72"/>
        <item x="53"/>
        <item x="151"/>
        <item x="65"/>
        <item x="66"/>
        <item x="15"/>
        <item x="7"/>
        <item x="113"/>
        <item x="150"/>
        <item x="84"/>
        <item x="134"/>
        <item x="121"/>
        <item x="5"/>
        <item x="139"/>
        <item x="187"/>
        <item x="168"/>
        <item x="137"/>
        <item x="160"/>
        <item x="178"/>
        <item x="9"/>
        <item x="184"/>
        <item x="50"/>
        <item x="117"/>
        <item x="143"/>
        <item x="63"/>
        <item x="60"/>
        <item x="96"/>
        <item x="186"/>
        <item x="90"/>
        <item t="default"/>
      </items>
    </pivotField>
    <pivotField showAll="0"/>
    <pivotField showAll="0">
      <items count="6">
        <item x="0"/>
        <item x="3"/>
        <item x="2"/>
        <item x="1"/>
        <item x="4"/>
        <item t="default"/>
      </items>
    </pivotField>
    <pivotField axis="axisRow" showAll="0">
      <items count="4">
        <item x="2"/>
        <item x="1"/>
        <item x="0"/>
        <item t="default"/>
      </items>
    </pivotField>
    <pivotField showAll="0"/>
    <pivotField showAll="0"/>
    <pivotField showAll="0"/>
    <pivotField showAll="0"/>
    <pivotField showAll="0"/>
    <pivotField numFmtId="3" showAll="0"/>
    <pivotField numFmtId="9" showAll="0"/>
    <pivotField numFmtId="3" showAll="0"/>
    <pivotField numFmtId="3" showAll="0"/>
    <pivotField showAll="0"/>
    <pivotField numFmtId="3" showAll="0"/>
    <pivotField numFmtId="3" showAll="0"/>
    <pivotField numFmtId="3" showAll="0"/>
    <pivotField showAll="0"/>
    <pivotField showAll="0"/>
    <pivotField showAll="0"/>
    <pivotField dataField="1" numFmtId="166"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4">
    <i>
      <x/>
    </i>
    <i>
      <x v="1"/>
    </i>
    <i>
      <x v="2"/>
    </i>
    <i t="grand">
      <x/>
    </i>
  </rowItems>
  <colFields count="1">
    <field x="-2"/>
  </colFields>
  <colItems count="2">
    <i>
      <x/>
    </i>
    <i i="1">
      <x v="1"/>
    </i>
  </colItems>
  <dataFields count="2">
    <dataField name="Total Order" fld="0" subtotal="count" baseField="0" baseItem="0"/>
    <dataField name="Returned Order" fld="21" baseField="0" baseItem="0" numFmtId="166"/>
  </dataFields>
  <formats count="6">
    <format dxfId="4">
      <pivotArea type="all" dataOnly="0" outline="0" fieldPosition="0"/>
    </format>
    <format dxfId="5">
      <pivotArea outline="0" collapsedLevelsAreSubtotals="1" fieldPosition="0"/>
    </format>
    <format dxfId="6">
      <pivotArea field="4" type="button" dataOnly="0" labelOnly="1" outline="0" axis="axisRow" fieldPosition="0"/>
    </format>
    <format dxfId="7">
      <pivotArea dataOnly="0" labelOnly="1" fieldPosition="0">
        <references count="1">
          <reference field="4" count="0"/>
        </references>
      </pivotArea>
    </format>
    <format dxfId="8">
      <pivotArea dataOnly="0" labelOnly="1" grandRow="1" outline="0" fieldPosition="0"/>
    </format>
    <format dxfId="9">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2A8612C-EC40-46BB-8FB5-C929B1CCAEF8}" name="PivotTable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Category">
  <location ref="A12:C16" firstHeaderRow="0" firstDataRow="1" firstDataCol="1"/>
  <pivotFields count="24">
    <pivotField showAll="0"/>
    <pivotField numFmtId="14" showAll="0">
      <items count="194">
        <item x="141"/>
        <item x="68"/>
        <item x="127"/>
        <item x="173"/>
        <item x="23"/>
        <item x="8"/>
        <item x="40"/>
        <item x="146"/>
        <item x="14"/>
        <item x="16"/>
        <item x="20"/>
        <item x="37"/>
        <item x="34"/>
        <item x="106"/>
        <item x="42"/>
        <item x="170"/>
        <item x="126"/>
        <item x="102"/>
        <item x="125"/>
        <item x="49"/>
        <item x="86"/>
        <item x="73"/>
        <item x="182"/>
        <item x="130"/>
        <item x="21"/>
        <item x="156"/>
        <item x="144"/>
        <item x="118"/>
        <item x="43"/>
        <item x="174"/>
        <item x="62"/>
        <item x="107"/>
        <item x="99"/>
        <item x="155"/>
        <item x="61"/>
        <item x="87"/>
        <item x="80"/>
        <item x="67"/>
        <item x="164"/>
        <item x="172"/>
        <item x="185"/>
        <item x="75"/>
        <item x="135"/>
        <item x="32"/>
        <item x="133"/>
        <item x="2"/>
        <item x="167"/>
        <item x="92"/>
        <item x="82"/>
        <item x="149"/>
        <item x="69"/>
        <item x="59"/>
        <item x="154"/>
        <item x="131"/>
        <item x="76"/>
        <item x="6"/>
        <item x="147"/>
        <item x="57"/>
        <item x="171"/>
        <item x="123"/>
        <item x="122"/>
        <item x="192"/>
        <item x="161"/>
        <item x="136"/>
        <item x="101"/>
        <item x="27"/>
        <item x="179"/>
        <item x="114"/>
        <item x="54"/>
        <item x="104"/>
        <item x="29"/>
        <item x="120"/>
        <item x="56"/>
        <item x="89"/>
        <item x="94"/>
        <item x="52"/>
        <item x="183"/>
        <item x="35"/>
        <item x="140"/>
        <item x="169"/>
        <item x="158"/>
        <item x="11"/>
        <item x="98"/>
        <item x="74"/>
        <item x="153"/>
        <item x="33"/>
        <item x="188"/>
        <item x="95"/>
        <item x="105"/>
        <item x="142"/>
        <item x="1"/>
        <item x="162"/>
        <item x="19"/>
        <item x="41"/>
        <item x="177"/>
        <item x="129"/>
        <item x="100"/>
        <item x="163"/>
        <item x="71"/>
        <item x="45"/>
        <item x="17"/>
        <item x="25"/>
        <item x="157"/>
        <item x="116"/>
        <item x="36"/>
        <item x="58"/>
        <item x="18"/>
        <item x="64"/>
        <item x="22"/>
        <item x="38"/>
        <item x="30"/>
        <item x="12"/>
        <item x="165"/>
        <item x="26"/>
        <item x="31"/>
        <item x="119"/>
        <item x="115"/>
        <item x="51"/>
        <item x="83"/>
        <item x="132"/>
        <item x="0"/>
        <item x="191"/>
        <item x="128"/>
        <item x="4"/>
        <item x="190"/>
        <item x="166"/>
        <item x="81"/>
        <item x="46"/>
        <item x="111"/>
        <item x="44"/>
        <item x="175"/>
        <item x="3"/>
        <item x="181"/>
        <item x="148"/>
        <item x="103"/>
        <item x="39"/>
        <item x="159"/>
        <item x="70"/>
        <item x="47"/>
        <item x="79"/>
        <item x="88"/>
        <item x="13"/>
        <item x="48"/>
        <item x="109"/>
        <item x="78"/>
        <item x="10"/>
        <item x="91"/>
        <item x="97"/>
        <item x="24"/>
        <item x="112"/>
        <item x="108"/>
        <item x="138"/>
        <item x="28"/>
        <item x="55"/>
        <item x="145"/>
        <item x="77"/>
        <item x="152"/>
        <item x="110"/>
        <item x="85"/>
        <item x="176"/>
        <item x="189"/>
        <item x="124"/>
        <item x="93"/>
        <item x="180"/>
        <item x="72"/>
        <item x="53"/>
        <item x="151"/>
        <item x="65"/>
        <item x="66"/>
        <item x="15"/>
        <item x="7"/>
        <item x="113"/>
        <item x="150"/>
        <item x="84"/>
        <item x="134"/>
        <item x="121"/>
        <item x="5"/>
        <item x="139"/>
        <item x="187"/>
        <item x="168"/>
        <item x="137"/>
        <item x="160"/>
        <item x="178"/>
        <item x="9"/>
        <item x="184"/>
        <item x="50"/>
        <item x="117"/>
        <item x="143"/>
        <item x="63"/>
        <item x="60"/>
        <item x="96"/>
        <item x="186"/>
        <item x="90"/>
        <item t="default"/>
      </items>
    </pivotField>
    <pivotField showAll="0"/>
    <pivotField showAll="0">
      <items count="6">
        <item x="0"/>
        <item x="3"/>
        <item x="2"/>
        <item x="1"/>
        <item x="4"/>
        <item t="default"/>
      </items>
    </pivotField>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3" showAll="0"/>
    <pivotField numFmtId="9" showAll="0"/>
    <pivotField numFmtId="3" showAll="0"/>
    <pivotField dataField="1" numFmtId="3" showAll="0"/>
    <pivotField showAll="0"/>
    <pivotField numFmtId="3" showAll="0"/>
    <pivotField numFmtId="3" showAll="0"/>
    <pivotField dataField="1" numFmtId="3" showAll="0"/>
    <pivotField showAll="0"/>
    <pivotField showAll="0"/>
    <pivotField showAll="0"/>
    <pivotField numFmtId="166"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4">
    <i>
      <x v="1"/>
    </i>
    <i>
      <x v="2"/>
    </i>
    <i>
      <x/>
    </i>
    <i t="grand">
      <x/>
    </i>
  </rowItems>
  <colFields count="1">
    <field x="-2"/>
  </colFields>
  <colItems count="2">
    <i>
      <x/>
    </i>
    <i i="1">
      <x v="1"/>
    </i>
  </colItems>
  <dataFields count="2">
    <dataField name="Revenue" fld="13" baseField="0" baseItem="0" numFmtId="3"/>
    <dataField name="Profit" fld="17" baseField="0" baseItem="0" numFmtId="3"/>
  </dataFields>
  <formats count="6">
    <format dxfId="46">
      <pivotArea type="all" dataOnly="0" outline="0" fieldPosition="0"/>
    </format>
    <format dxfId="45">
      <pivotArea outline="0" collapsedLevelsAreSubtotals="1" fieldPosition="0"/>
    </format>
    <format dxfId="44">
      <pivotArea field="5" type="button" dataOnly="0" labelOnly="1" outline="0" axis="axisRow" fieldPosition="0"/>
    </format>
    <format dxfId="43">
      <pivotArea dataOnly="0" labelOnly="1" fieldPosition="0">
        <references count="1">
          <reference field="5" count="0"/>
        </references>
      </pivotArea>
    </format>
    <format dxfId="42">
      <pivotArea dataOnly="0" labelOnly="1" grandRow="1" outline="0" fieldPosition="0"/>
    </format>
    <format dxfId="41">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A345FCF-EF54-4FBD-A1C5-3C7FCA370277}" name="PivotTable1"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9" firstHeaderRow="0" firstDataRow="1" firstDataCol="1"/>
  <pivotFields count="24">
    <pivotField showAll="0"/>
    <pivotField numFmtId="14" showAll="0">
      <items count="194">
        <item x="141"/>
        <item x="68"/>
        <item x="127"/>
        <item x="173"/>
        <item x="23"/>
        <item x="8"/>
        <item x="40"/>
        <item x="146"/>
        <item x="14"/>
        <item x="16"/>
        <item x="20"/>
        <item x="37"/>
        <item x="34"/>
        <item x="106"/>
        <item x="42"/>
        <item x="170"/>
        <item x="126"/>
        <item x="102"/>
        <item x="125"/>
        <item x="49"/>
        <item x="86"/>
        <item x="73"/>
        <item x="182"/>
        <item x="130"/>
        <item x="21"/>
        <item x="156"/>
        <item x="144"/>
        <item x="118"/>
        <item x="43"/>
        <item x="174"/>
        <item x="62"/>
        <item x="107"/>
        <item x="99"/>
        <item x="155"/>
        <item x="61"/>
        <item x="87"/>
        <item x="80"/>
        <item x="67"/>
        <item x="164"/>
        <item x="172"/>
        <item x="185"/>
        <item x="75"/>
        <item x="135"/>
        <item x="32"/>
        <item x="133"/>
        <item x="2"/>
        <item x="167"/>
        <item x="92"/>
        <item x="82"/>
        <item x="149"/>
        <item x="69"/>
        <item x="59"/>
        <item x="154"/>
        <item x="131"/>
        <item x="76"/>
        <item x="6"/>
        <item x="147"/>
        <item x="57"/>
        <item x="171"/>
        <item x="123"/>
        <item x="122"/>
        <item x="192"/>
        <item x="161"/>
        <item x="136"/>
        <item x="101"/>
        <item x="27"/>
        <item x="179"/>
        <item x="114"/>
        <item x="54"/>
        <item x="104"/>
        <item x="29"/>
        <item x="120"/>
        <item x="56"/>
        <item x="89"/>
        <item x="94"/>
        <item x="52"/>
        <item x="183"/>
        <item x="35"/>
        <item x="140"/>
        <item x="169"/>
        <item x="158"/>
        <item x="11"/>
        <item x="98"/>
        <item x="74"/>
        <item x="153"/>
        <item x="33"/>
        <item x="188"/>
        <item x="95"/>
        <item x="105"/>
        <item x="142"/>
        <item x="1"/>
        <item x="162"/>
        <item x="19"/>
        <item x="41"/>
        <item x="177"/>
        <item x="129"/>
        <item x="100"/>
        <item x="163"/>
        <item x="71"/>
        <item x="45"/>
        <item x="17"/>
        <item x="25"/>
        <item x="157"/>
        <item x="116"/>
        <item x="36"/>
        <item x="58"/>
        <item x="18"/>
        <item x="64"/>
        <item x="22"/>
        <item x="38"/>
        <item x="30"/>
        <item x="12"/>
        <item x="165"/>
        <item x="26"/>
        <item x="31"/>
        <item x="119"/>
        <item x="115"/>
        <item x="51"/>
        <item x="83"/>
        <item x="132"/>
        <item x="0"/>
        <item x="191"/>
        <item x="128"/>
        <item x="4"/>
        <item x="190"/>
        <item x="166"/>
        <item x="81"/>
        <item x="46"/>
        <item x="111"/>
        <item x="44"/>
        <item x="175"/>
        <item x="3"/>
        <item x="181"/>
        <item x="148"/>
        <item x="103"/>
        <item x="39"/>
        <item x="159"/>
        <item x="70"/>
        <item x="47"/>
        <item x="79"/>
        <item x="88"/>
        <item x="13"/>
        <item x="48"/>
        <item x="109"/>
        <item x="78"/>
        <item x="10"/>
        <item x="91"/>
        <item x="97"/>
        <item x="24"/>
        <item x="112"/>
        <item x="108"/>
        <item x="138"/>
        <item x="28"/>
        <item x="55"/>
        <item x="145"/>
        <item x="77"/>
        <item x="152"/>
        <item x="110"/>
        <item x="85"/>
        <item x="176"/>
        <item x="189"/>
        <item x="124"/>
        <item x="93"/>
        <item x="180"/>
        <item x="72"/>
        <item x="53"/>
        <item x="151"/>
        <item x="65"/>
        <item x="66"/>
        <item x="15"/>
        <item x="7"/>
        <item x="113"/>
        <item x="150"/>
        <item x="84"/>
        <item x="134"/>
        <item x="121"/>
        <item x="5"/>
        <item x="139"/>
        <item x="187"/>
        <item x="168"/>
        <item x="137"/>
        <item x="160"/>
        <item x="178"/>
        <item x="9"/>
        <item x="184"/>
        <item x="50"/>
        <item x="117"/>
        <item x="143"/>
        <item x="63"/>
        <item x="60"/>
        <item x="96"/>
        <item x="186"/>
        <item x="90"/>
        <item t="default"/>
      </items>
    </pivotField>
    <pivotField showAll="0"/>
    <pivotField axis="axisRow" showAll="0" sortType="descending">
      <items count="6">
        <item x="0"/>
        <item x="3"/>
        <item x="2"/>
        <item x="1"/>
        <item x="4"/>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numFmtId="3" showAll="0"/>
    <pivotField numFmtId="9" showAll="0"/>
    <pivotField numFmtId="3" showAll="0"/>
    <pivotField dataField="1" numFmtId="3" showAll="0"/>
    <pivotField showAll="0"/>
    <pivotField numFmtId="3" showAll="0"/>
    <pivotField numFmtId="3" showAll="0"/>
    <pivotField dataField="1" numFmtId="3" showAll="0"/>
    <pivotField showAll="0"/>
    <pivotField showAll="0"/>
    <pivotField showAll="0"/>
    <pivotField numFmtId="166"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6">
    <i>
      <x v="3"/>
    </i>
    <i>
      <x v="2"/>
    </i>
    <i>
      <x v="1"/>
    </i>
    <i>
      <x v="4"/>
    </i>
    <i>
      <x/>
    </i>
    <i t="grand">
      <x/>
    </i>
  </rowItems>
  <colFields count="1">
    <field x="-2"/>
  </colFields>
  <colItems count="2">
    <i>
      <x/>
    </i>
    <i i="1">
      <x v="1"/>
    </i>
  </colItems>
  <dataFields count="2">
    <dataField name="Revenue" fld="13" baseField="0" baseItem="0" numFmtId="3"/>
    <dataField name="Profit" fld="17" baseField="0" baseItem="0" numFmtId="3"/>
  </dataFields>
  <formats count="6">
    <format dxfId="40">
      <pivotArea type="all" dataOnly="0" outline="0" fieldPosition="0"/>
    </format>
    <format dxfId="39">
      <pivotArea outline="0" collapsedLevelsAreSubtotals="1" fieldPosition="0"/>
    </format>
    <format dxfId="38">
      <pivotArea field="3" type="button" dataOnly="0" labelOnly="1" outline="0" axis="axisRow" fieldPosition="0"/>
    </format>
    <format dxfId="37">
      <pivotArea dataOnly="0" labelOnly="1" fieldPosition="0">
        <references count="1">
          <reference field="3" count="0"/>
        </references>
      </pivotArea>
    </format>
    <format dxfId="36">
      <pivotArea dataOnly="0" labelOnly="1" grandRow="1" outline="0" fieldPosition="0"/>
    </format>
    <format dxfId="35">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AE8DE462-2CBE-4F9A-A309-141AEB53B9BF}" sourceName="State">
  <pivotTables>
    <pivotTable tabId="6" name="PivotTable6"/>
    <pivotTable tabId="6" name="PivotTable9"/>
    <pivotTable tabId="6" name="PivotTable2"/>
    <pivotTable tabId="6" name="PivotTable1"/>
    <pivotTable tabId="6" name="PivotTable3"/>
    <pivotTable tabId="6" name="PivotTable4"/>
    <pivotTable tabId="6" name="PivotTable5"/>
    <pivotTable tabId="6" name="PivotTable7"/>
    <pivotTable tabId="6" name="PivotTable8"/>
    <pivotTable tabId="6" name="PivotTable10"/>
    <pivotTable tabId="6" name="PivotTable11"/>
    <pivotTable tabId="6" name="PivotTable12"/>
    <pivotTable tabId="6" name="PivotTable13"/>
    <pivotTable tabId="6" name="PivotTable14"/>
  </pivotTables>
  <data>
    <tabular pivotCacheId="2080593275">
      <items count="5">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FCA40674-5CDB-4E87-AAF0-19D84F77FD54}" cache="Slicer_State" caption="State" rowHeight="234950"/>
  <slicer name="State 1" xr10:uid="{6AD5EB2E-535E-424B-B9FD-4F0E6E9B7158}" cache="Slicer_State" caption="State" rowHeight="234950"/>
</slicers>
</file>

<file path=xl/theme/theme1.xml><?xml version="1.0" encoding="utf-8"?>
<a:theme xmlns:a="http://schemas.openxmlformats.org/drawingml/2006/main" name="Office Theme">
  <a:themeElements>
    <a:clrScheme name="Red">
      <a:dk1>
        <a:sysClr val="windowText" lastClr="000000"/>
      </a:dk1>
      <a:lt1>
        <a:sysClr val="window" lastClr="FFFFFF"/>
      </a:lt1>
      <a:dk2>
        <a:srgbClr val="323232"/>
      </a:dk2>
      <a:lt2>
        <a:srgbClr val="E5C243"/>
      </a:lt2>
      <a:accent1>
        <a:srgbClr val="A5300F"/>
      </a:accent1>
      <a:accent2>
        <a:srgbClr val="D55816"/>
      </a:accent2>
      <a:accent3>
        <a:srgbClr val="E19825"/>
      </a:accent3>
      <a:accent4>
        <a:srgbClr val="B19C7D"/>
      </a:accent4>
      <a:accent5>
        <a:srgbClr val="7F5F52"/>
      </a:accent5>
      <a:accent6>
        <a:srgbClr val="B27D49"/>
      </a:accent6>
      <a:hlink>
        <a:srgbClr val="6B9F25"/>
      </a:hlink>
      <a:folHlink>
        <a:srgbClr val="B26B02"/>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3ADD6-01FA-48C0-927F-BB58F9E147D4}">
  <dimension ref="A1"/>
  <sheetViews>
    <sheetView showGridLines="0" tabSelected="1" view="pageBreakPreview" zoomScaleNormal="80" zoomScaleSheetLayoutView="100" workbookViewId="0">
      <selection activeCell="W12" sqref="W12"/>
    </sheetView>
  </sheetViews>
  <sheetFormatPr defaultRowHeight="14.4" x14ac:dyDescent="0.3"/>
  <cols>
    <col min="1" max="1" width="3.33203125" customWidth="1"/>
    <col min="20" max="20" width="6.5546875" customWidth="1"/>
  </cols>
  <sheetData/>
  <pageMargins left="0.7" right="0.7" top="0.75" bottom="0.75" header="0.3" footer="0.3"/>
  <pageSetup paperSize="9" scale="50" orientation="portrait" verticalDpi="0"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34DC3-ED51-4C5D-8738-7DAFA2A8B4DE}">
  <dimension ref="A3:S199"/>
  <sheetViews>
    <sheetView zoomScale="80" zoomScaleNormal="80" workbookViewId="0">
      <selection activeCell="Q15" sqref="Q15"/>
    </sheetView>
  </sheetViews>
  <sheetFormatPr defaultRowHeight="13.8" x14ac:dyDescent="0.25"/>
  <cols>
    <col min="1" max="1" width="18.5546875" style="2" bestFit="1" customWidth="1"/>
    <col min="2" max="3" width="9.5546875" style="2" bestFit="1" customWidth="1"/>
    <col min="4" max="5" width="8.88671875" style="2"/>
    <col min="6" max="6" width="14.33203125" style="2" bestFit="1" customWidth="1"/>
    <col min="7" max="7" width="9.5546875" style="2" bestFit="1" customWidth="1"/>
    <col min="8" max="13" width="8.88671875" style="2"/>
    <col min="14" max="14" width="11.6640625" style="2" bestFit="1" customWidth="1"/>
    <col min="15" max="16" width="8.88671875" style="2"/>
    <col min="17" max="17" width="18.5546875" style="2" bestFit="1" customWidth="1"/>
    <col min="18" max="16384" width="8.88671875" style="2"/>
  </cols>
  <sheetData>
    <row r="3" spans="1:19" ht="14.4" x14ac:dyDescent="0.3">
      <c r="A3" s="12" t="s">
        <v>247</v>
      </c>
      <c r="B3" s="2" t="s">
        <v>262</v>
      </c>
      <c r="C3" s="2" t="s">
        <v>263</v>
      </c>
      <c r="D3" s="2" t="s">
        <v>249</v>
      </c>
      <c r="F3" s="2" t="s">
        <v>1</v>
      </c>
      <c r="G3" s="2" t="s">
        <v>262</v>
      </c>
      <c r="I3" s="2" t="s">
        <v>1</v>
      </c>
      <c r="J3" s="2" t="s">
        <v>263</v>
      </c>
      <c r="N3" s="2" t="s">
        <v>259</v>
      </c>
      <c r="Q3" s="12" t="s">
        <v>266</v>
      </c>
      <c r="R3"/>
      <c r="S3"/>
    </row>
    <row r="4" spans="1:19" ht="14.4" x14ac:dyDescent="0.3">
      <c r="A4" s="13" t="s">
        <v>16</v>
      </c>
      <c r="B4" s="7">
        <v>13905300</v>
      </c>
      <c r="C4" s="7">
        <v>4657000</v>
      </c>
      <c r="D4" s="14">
        <f>C4/B4</f>
        <v>0.33490827238534948</v>
      </c>
      <c r="F4" s="2" t="str">
        <f>A4</f>
        <v>Lagos</v>
      </c>
      <c r="G4" s="7">
        <f>B4</f>
        <v>13905300</v>
      </c>
      <c r="I4" s="2" t="str">
        <f>A4</f>
        <v>Lagos</v>
      </c>
      <c r="J4" s="7">
        <f>C4</f>
        <v>4657000</v>
      </c>
      <c r="N4" s="7">
        <v>47810625</v>
      </c>
      <c r="Q4" s="13" t="s">
        <v>252</v>
      </c>
      <c r="R4"/>
      <c r="S4"/>
    </row>
    <row r="5" spans="1:19" ht="14.4" x14ac:dyDescent="0.3">
      <c r="A5" s="13" t="s">
        <v>26</v>
      </c>
      <c r="B5" s="7">
        <v>10342200</v>
      </c>
      <c r="C5" s="7">
        <v>3363800</v>
      </c>
      <c r="D5" s="14">
        <f t="shared" ref="D5:D8" si="0">C5/B5</f>
        <v>0.32524994681982555</v>
      </c>
      <c r="F5" s="2" t="str">
        <f t="shared" ref="F5:F8" si="1">A5</f>
        <v>Kano</v>
      </c>
      <c r="G5" s="7">
        <f t="shared" ref="G5:G8" si="2">B5</f>
        <v>10342200</v>
      </c>
      <c r="I5" s="2" t="str">
        <f t="shared" ref="I5:I8" si="3">A5</f>
        <v>Kano</v>
      </c>
      <c r="J5" s="7">
        <f t="shared" ref="J5:J8" si="4">C5</f>
        <v>3363800</v>
      </c>
      <c r="Q5" s="13" t="s">
        <v>253</v>
      </c>
      <c r="R5"/>
      <c r="S5"/>
    </row>
    <row r="6" spans="1:19" ht="14.4" x14ac:dyDescent="0.3">
      <c r="A6" s="13" t="s">
        <v>41</v>
      </c>
      <c r="B6" s="7">
        <v>9441325</v>
      </c>
      <c r="C6" s="7">
        <v>2905225</v>
      </c>
      <c r="D6" s="14">
        <f t="shared" si="0"/>
        <v>0.30771369484685679</v>
      </c>
      <c r="F6" s="2" t="str">
        <f t="shared" si="1"/>
        <v>Ibadan</v>
      </c>
      <c r="G6" s="7">
        <f t="shared" si="2"/>
        <v>9441325</v>
      </c>
      <c r="I6" s="2" t="str">
        <f t="shared" si="3"/>
        <v>Ibadan</v>
      </c>
      <c r="J6" s="7">
        <f t="shared" si="4"/>
        <v>2905225</v>
      </c>
      <c r="Q6" s="13" t="s">
        <v>254</v>
      </c>
      <c r="R6"/>
      <c r="S6"/>
    </row>
    <row r="7" spans="1:19" ht="14.4" x14ac:dyDescent="0.3">
      <c r="A7" s="13" t="s">
        <v>46</v>
      </c>
      <c r="B7" s="7">
        <v>7430850</v>
      </c>
      <c r="C7" s="7">
        <v>2342650</v>
      </c>
      <c r="D7" s="14">
        <f t="shared" si="0"/>
        <v>0.31526003081747039</v>
      </c>
      <c r="F7" s="2" t="str">
        <f t="shared" si="1"/>
        <v>Port Harcourt</v>
      </c>
      <c r="G7" s="7">
        <f t="shared" si="2"/>
        <v>7430850</v>
      </c>
      <c r="I7" s="2" t="str">
        <f t="shared" si="3"/>
        <v>Port Harcourt</v>
      </c>
      <c r="J7" s="7">
        <f t="shared" si="4"/>
        <v>2342650</v>
      </c>
      <c r="N7" s="2" t="s">
        <v>260</v>
      </c>
      <c r="Q7" s="13" t="s">
        <v>255</v>
      </c>
      <c r="R7"/>
      <c r="S7"/>
    </row>
    <row r="8" spans="1:19" ht="14.4" x14ac:dyDescent="0.3">
      <c r="A8" s="13" t="s">
        <v>7</v>
      </c>
      <c r="B8" s="7">
        <v>6690950</v>
      </c>
      <c r="C8" s="7">
        <v>1701350</v>
      </c>
      <c r="D8" s="14">
        <f t="shared" si="0"/>
        <v>0.25427629858241357</v>
      </c>
      <c r="F8" s="2" t="str">
        <f t="shared" si="1"/>
        <v>Abuja</v>
      </c>
      <c r="G8" s="7">
        <f t="shared" si="2"/>
        <v>6690950</v>
      </c>
      <c r="I8" s="2" t="str">
        <f t="shared" si="3"/>
        <v>Abuja</v>
      </c>
      <c r="J8" s="7">
        <f t="shared" si="4"/>
        <v>1701350</v>
      </c>
      <c r="N8" s="7">
        <v>14970025</v>
      </c>
      <c r="Q8" s="13" t="s">
        <v>230</v>
      </c>
      <c r="R8"/>
      <c r="S8"/>
    </row>
    <row r="9" spans="1:19" ht="14.4" x14ac:dyDescent="0.3">
      <c r="A9" s="13" t="s">
        <v>248</v>
      </c>
      <c r="B9" s="7">
        <v>47810625</v>
      </c>
      <c r="C9" s="7">
        <v>14970025</v>
      </c>
      <c r="Q9" s="13" t="s">
        <v>256</v>
      </c>
      <c r="R9"/>
      <c r="S9"/>
    </row>
    <row r="10" spans="1:19" ht="14.4" x14ac:dyDescent="0.3">
      <c r="N10" s="2" t="s">
        <v>261</v>
      </c>
      <c r="Q10" s="13" t="s">
        <v>257</v>
      </c>
      <c r="R10"/>
      <c r="S10"/>
    </row>
    <row r="11" spans="1:19" ht="14.4" x14ac:dyDescent="0.3">
      <c r="N11" s="7">
        <v>32840600</v>
      </c>
      <c r="Q11" s="13" t="s">
        <v>258</v>
      </c>
      <c r="R11"/>
      <c r="S11"/>
    </row>
    <row r="12" spans="1:19" ht="14.4" x14ac:dyDescent="0.3">
      <c r="A12" s="12" t="s">
        <v>3</v>
      </c>
      <c r="B12" s="2" t="s">
        <v>262</v>
      </c>
      <c r="C12" s="2" t="s">
        <v>263</v>
      </c>
      <c r="D12" s="2" t="s">
        <v>249</v>
      </c>
      <c r="F12" s="2" t="s">
        <v>3</v>
      </c>
      <c r="G12" s="2" t="s">
        <v>262</v>
      </c>
      <c r="Q12" s="13" t="s">
        <v>248</v>
      </c>
      <c r="R12"/>
      <c r="S12"/>
    </row>
    <row r="13" spans="1:19" ht="14.4" x14ac:dyDescent="0.3">
      <c r="A13" s="13" t="s">
        <v>17</v>
      </c>
      <c r="B13" s="7">
        <v>30035900</v>
      </c>
      <c r="C13" s="7">
        <v>9214900</v>
      </c>
      <c r="D13" s="14">
        <f>C13/B13</f>
        <v>0.30679620054667917</v>
      </c>
      <c r="F13" s="2" t="str">
        <f>A13</f>
        <v>Electronics</v>
      </c>
      <c r="G13" s="7">
        <f>B13</f>
        <v>30035900</v>
      </c>
      <c r="N13" s="2" t="s">
        <v>264</v>
      </c>
      <c r="Q13"/>
      <c r="R13"/>
      <c r="S13"/>
    </row>
    <row r="14" spans="1:19" ht="14.4" x14ac:dyDescent="0.3">
      <c r="A14" s="13" t="s">
        <v>9</v>
      </c>
      <c r="B14" s="7">
        <v>13510500</v>
      </c>
      <c r="C14" s="7">
        <v>3753500</v>
      </c>
      <c r="D14" s="14">
        <f t="shared" ref="D14:D17" si="5">C14/B14</f>
        <v>0.27782095407275825</v>
      </c>
      <c r="F14" s="2" t="str">
        <f t="shared" ref="F14:F15" si="6">A14</f>
        <v>Home</v>
      </c>
      <c r="G14" s="7">
        <f t="shared" ref="G14:G15" si="7">B14</f>
        <v>13510500</v>
      </c>
      <c r="N14" s="15">
        <v>432</v>
      </c>
      <c r="Q14"/>
      <c r="R14"/>
      <c r="S14"/>
    </row>
    <row r="15" spans="1:19" ht="14.4" x14ac:dyDescent="0.3">
      <c r="A15" s="13" t="s">
        <v>34</v>
      </c>
      <c r="B15" s="7">
        <v>4264225</v>
      </c>
      <c r="C15" s="7">
        <v>2001625</v>
      </c>
      <c r="D15" s="14">
        <f t="shared" si="5"/>
        <v>0.46939948056211855</v>
      </c>
      <c r="F15" s="2" t="str">
        <f t="shared" si="6"/>
        <v>Accessories</v>
      </c>
      <c r="G15" s="7">
        <f t="shared" si="7"/>
        <v>4264225</v>
      </c>
      <c r="Q15" s="12" t="s">
        <v>1</v>
      </c>
      <c r="R15"/>
      <c r="S15"/>
    </row>
    <row r="16" spans="1:19" ht="14.4" x14ac:dyDescent="0.3">
      <c r="A16" s="13" t="s">
        <v>248</v>
      </c>
      <c r="B16" s="7">
        <v>47810625</v>
      </c>
      <c r="C16" s="7">
        <v>14970025</v>
      </c>
      <c r="D16" s="16"/>
      <c r="N16" s="2" t="s">
        <v>267</v>
      </c>
      <c r="O16"/>
      <c r="P16"/>
      <c r="Q16" s="13" t="s">
        <v>7</v>
      </c>
      <c r="R16"/>
      <c r="S16"/>
    </row>
    <row r="17" spans="1:19" ht="14.4" x14ac:dyDescent="0.3">
      <c r="D17" s="16"/>
      <c r="N17" s="18">
        <v>1190</v>
      </c>
      <c r="O17"/>
      <c r="P17"/>
      <c r="Q17" s="13" t="s">
        <v>41</v>
      </c>
      <c r="R17"/>
      <c r="S17"/>
    </row>
    <row r="18" spans="1:19" ht="14.4" x14ac:dyDescent="0.3">
      <c r="N18"/>
      <c r="O18"/>
      <c r="P18"/>
      <c r="Q18" s="13" t="s">
        <v>26</v>
      </c>
      <c r="R18"/>
      <c r="S18"/>
    </row>
    <row r="19" spans="1:19" ht="14.4" x14ac:dyDescent="0.3">
      <c r="A19" s="12" t="s">
        <v>2</v>
      </c>
      <c r="B19" s="2" t="s">
        <v>264</v>
      </c>
      <c r="C19" s="2" t="s">
        <v>265</v>
      </c>
      <c r="D19" s="2" t="s">
        <v>251</v>
      </c>
      <c r="F19" s="2" t="s">
        <v>2</v>
      </c>
      <c r="G19" s="2" t="s">
        <v>268</v>
      </c>
      <c r="M19" s="2" t="s">
        <v>2</v>
      </c>
      <c r="N19" t="s">
        <v>251</v>
      </c>
      <c r="O19"/>
      <c r="P19"/>
      <c r="Q19" s="13" t="s">
        <v>16</v>
      </c>
      <c r="R19"/>
      <c r="S19"/>
    </row>
    <row r="20" spans="1:19" ht="14.4" x14ac:dyDescent="0.3">
      <c r="A20" s="13" t="s">
        <v>33</v>
      </c>
      <c r="B20" s="15">
        <v>208</v>
      </c>
      <c r="C20" s="17">
        <v>13</v>
      </c>
      <c r="D20" s="14">
        <f>C20/B20</f>
        <v>6.25E-2</v>
      </c>
      <c r="F20" s="2" t="str">
        <f>A20</f>
        <v>In-store</v>
      </c>
      <c r="G20" s="20">
        <f>D20</f>
        <v>6.25E-2</v>
      </c>
      <c r="M20" s="2" t="str">
        <f>A20</f>
        <v>In-store</v>
      </c>
      <c r="N20" s="19">
        <f>D20</f>
        <v>6.25E-2</v>
      </c>
      <c r="O20"/>
      <c r="P20"/>
      <c r="Q20" s="13" t="s">
        <v>46</v>
      </c>
      <c r="R20"/>
      <c r="S20"/>
    </row>
    <row r="21" spans="1:19" ht="14.4" x14ac:dyDescent="0.3">
      <c r="A21" s="13" t="s">
        <v>27</v>
      </c>
      <c r="B21" s="15">
        <v>137</v>
      </c>
      <c r="C21" s="17">
        <v>15</v>
      </c>
      <c r="D21" s="14">
        <f t="shared" ref="D21:D23" si="8">C21/B21</f>
        <v>0.10948905109489052</v>
      </c>
      <c r="F21" s="2" t="str">
        <f t="shared" ref="F21:F22" si="9">A21</f>
        <v>Online</v>
      </c>
      <c r="G21" s="20">
        <f t="shared" ref="G21:G22" si="10">D21</f>
        <v>0.10948905109489052</v>
      </c>
      <c r="M21" s="2" t="str">
        <f t="shared" ref="M21:M22" si="11">A21</f>
        <v>Online</v>
      </c>
      <c r="N21" s="19">
        <f t="shared" ref="N21:N22" si="12">D21</f>
        <v>0.10948905109489052</v>
      </c>
      <c r="O21"/>
      <c r="P21"/>
      <c r="Q21" s="13" t="s">
        <v>248</v>
      </c>
      <c r="R21"/>
      <c r="S21"/>
    </row>
    <row r="22" spans="1:19" ht="14.4" x14ac:dyDescent="0.3">
      <c r="A22" s="13" t="s">
        <v>8</v>
      </c>
      <c r="B22" s="15">
        <v>87</v>
      </c>
      <c r="C22" s="17">
        <v>10</v>
      </c>
      <c r="D22" s="14">
        <f t="shared" si="8"/>
        <v>0.11494252873563218</v>
      </c>
      <c r="F22" s="2" t="str">
        <f t="shared" si="9"/>
        <v>WhatsApp</v>
      </c>
      <c r="G22" s="20">
        <f t="shared" si="10"/>
        <v>0.11494252873563218</v>
      </c>
      <c r="M22" s="2" t="str">
        <f t="shared" si="11"/>
        <v>WhatsApp</v>
      </c>
      <c r="N22" s="19">
        <f t="shared" si="12"/>
        <v>0.11494252873563218</v>
      </c>
      <c r="O22"/>
      <c r="P22"/>
      <c r="R22"/>
      <c r="S22"/>
    </row>
    <row r="23" spans="1:19" ht="14.4" x14ac:dyDescent="0.3">
      <c r="A23" s="13" t="s">
        <v>248</v>
      </c>
      <c r="B23" s="15">
        <v>432</v>
      </c>
      <c r="C23" s="17">
        <v>38</v>
      </c>
      <c r="D23" s="14">
        <f t="shared" si="8"/>
        <v>8.7962962962962965E-2</v>
      </c>
      <c r="N23"/>
      <c r="O23"/>
      <c r="P23"/>
      <c r="Q23"/>
      <c r="R23"/>
      <c r="S23"/>
    </row>
    <row r="24" spans="1:19" ht="14.4" x14ac:dyDescent="0.3">
      <c r="N24"/>
      <c r="O24"/>
      <c r="P24"/>
      <c r="Q24" s="12" t="s">
        <v>3</v>
      </c>
      <c r="R24"/>
      <c r="S24"/>
    </row>
    <row r="25" spans="1:19" ht="14.4" x14ac:dyDescent="0.3">
      <c r="N25"/>
      <c r="O25"/>
      <c r="P25"/>
      <c r="Q25" s="13" t="s">
        <v>34</v>
      </c>
      <c r="R25"/>
      <c r="S25"/>
    </row>
    <row r="26" spans="1:19" ht="14.4" x14ac:dyDescent="0.3">
      <c r="A26" s="12" t="s">
        <v>247</v>
      </c>
      <c r="B26" s="2" t="s">
        <v>264</v>
      </c>
      <c r="C26"/>
      <c r="N26"/>
      <c r="O26"/>
      <c r="P26"/>
      <c r="Q26" s="13" t="s">
        <v>17</v>
      </c>
      <c r="R26"/>
      <c r="S26"/>
    </row>
    <row r="27" spans="1:19" ht="14.4" x14ac:dyDescent="0.3">
      <c r="A27" s="13" t="s">
        <v>33</v>
      </c>
      <c r="B27" s="15">
        <v>208</v>
      </c>
      <c r="C27"/>
      <c r="N27"/>
      <c r="O27"/>
      <c r="P27"/>
      <c r="Q27" s="13" t="s">
        <v>9</v>
      </c>
      <c r="R27"/>
      <c r="S27"/>
    </row>
    <row r="28" spans="1:19" ht="14.4" x14ac:dyDescent="0.3">
      <c r="A28" s="13" t="s">
        <v>27</v>
      </c>
      <c r="B28" s="15">
        <v>137</v>
      </c>
      <c r="C28"/>
      <c r="N28"/>
      <c r="O28"/>
      <c r="P28"/>
      <c r="Q28" s="13" t="s">
        <v>248</v>
      </c>
      <c r="R28"/>
      <c r="S28"/>
    </row>
    <row r="29" spans="1:19" ht="14.4" x14ac:dyDescent="0.3">
      <c r="A29" s="13" t="s">
        <v>8</v>
      </c>
      <c r="B29" s="15">
        <v>87</v>
      </c>
      <c r="C29"/>
      <c r="N29"/>
      <c r="O29"/>
      <c r="P29"/>
      <c r="Q29"/>
      <c r="R29"/>
      <c r="S29"/>
    </row>
    <row r="30" spans="1:19" ht="14.4" x14ac:dyDescent="0.3">
      <c r="A30" s="13" t="s">
        <v>248</v>
      </c>
      <c r="B30" s="15">
        <v>432</v>
      </c>
      <c r="C30"/>
      <c r="N30"/>
      <c r="O30"/>
      <c r="P30"/>
      <c r="Q30"/>
      <c r="R30"/>
      <c r="S30"/>
    </row>
    <row r="31" spans="1:19" ht="14.4" x14ac:dyDescent="0.3">
      <c r="N31"/>
      <c r="O31"/>
      <c r="P31"/>
      <c r="Q31"/>
      <c r="R31"/>
      <c r="S31"/>
    </row>
    <row r="32" spans="1:19" ht="14.4" x14ac:dyDescent="0.3">
      <c r="A32" s="12" t="s">
        <v>247</v>
      </c>
      <c r="B32" s="2" t="s">
        <v>265</v>
      </c>
      <c r="C32"/>
      <c r="N32"/>
      <c r="O32"/>
      <c r="P32"/>
      <c r="Q32"/>
      <c r="R32"/>
      <c r="S32"/>
    </row>
    <row r="33" spans="1:19" ht="14.4" x14ac:dyDescent="0.3">
      <c r="A33" s="13" t="s">
        <v>33</v>
      </c>
      <c r="B33" s="17">
        <v>13</v>
      </c>
      <c r="C33"/>
      <c r="N33"/>
      <c r="O33"/>
      <c r="P33"/>
      <c r="Q33"/>
      <c r="R33"/>
      <c r="S33"/>
    </row>
    <row r="34" spans="1:19" ht="14.4" x14ac:dyDescent="0.3">
      <c r="A34" s="13" t="s">
        <v>27</v>
      </c>
      <c r="B34" s="17">
        <v>15</v>
      </c>
      <c r="C34"/>
      <c r="Q34"/>
      <c r="R34"/>
      <c r="S34"/>
    </row>
    <row r="35" spans="1:19" ht="14.4" x14ac:dyDescent="0.3">
      <c r="A35" s="13" t="s">
        <v>8</v>
      </c>
      <c r="B35" s="17">
        <v>10</v>
      </c>
      <c r="C35"/>
      <c r="Q35"/>
      <c r="R35"/>
      <c r="S35"/>
    </row>
    <row r="36" spans="1:19" ht="14.4" x14ac:dyDescent="0.3">
      <c r="A36" s="13" t="s">
        <v>248</v>
      </c>
      <c r="B36" s="17">
        <v>38</v>
      </c>
      <c r="C36"/>
      <c r="Q36"/>
      <c r="R36"/>
      <c r="S36"/>
    </row>
    <row r="37" spans="1:19" ht="14.4" x14ac:dyDescent="0.3">
      <c r="A37" s="13"/>
      <c r="B37" s="15"/>
      <c r="C37" s="17"/>
      <c r="Q37"/>
      <c r="R37"/>
      <c r="S37"/>
    </row>
    <row r="38" spans="1:19" ht="14.4" x14ac:dyDescent="0.3">
      <c r="A38" s="13"/>
      <c r="B38" s="15"/>
      <c r="C38" s="17"/>
      <c r="Q38"/>
      <c r="R38"/>
      <c r="S38"/>
    </row>
    <row r="39" spans="1:19" ht="14.4" x14ac:dyDescent="0.3">
      <c r="A39" s="12" t="s">
        <v>247</v>
      </c>
      <c r="B39" s="2" t="s">
        <v>262</v>
      </c>
      <c r="Q39"/>
      <c r="R39"/>
      <c r="S39"/>
    </row>
    <row r="40" spans="1:19" ht="14.4" x14ac:dyDescent="0.3">
      <c r="A40" s="13" t="s">
        <v>252</v>
      </c>
      <c r="B40" s="7">
        <v>6749250</v>
      </c>
      <c r="C40" s="2" t="str">
        <f>A40</f>
        <v>Jan</v>
      </c>
      <c r="D40" s="7">
        <f>B40</f>
        <v>6749250</v>
      </c>
      <c r="Q40"/>
      <c r="R40"/>
      <c r="S40"/>
    </row>
    <row r="41" spans="1:19" ht="14.4" x14ac:dyDescent="0.3">
      <c r="A41" s="13" t="s">
        <v>253</v>
      </c>
      <c r="B41" s="7">
        <v>5479500</v>
      </c>
      <c r="C41" s="2" t="str">
        <f t="shared" ref="C41:C47" si="13">A41</f>
        <v>Feb</v>
      </c>
      <c r="D41" s="7">
        <f t="shared" ref="D41:D47" si="14">B41</f>
        <v>5479500</v>
      </c>
      <c r="Q41"/>
      <c r="R41"/>
      <c r="S41"/>
    </row>
    <row r="42" spans="1:19" ht="14.4" x14ac:dyDescent="0.3">
      <c r="A42" s="13" t="s">
        <v>254</v>
      </c>
      <c r="B42" s="7">
        <v>6306375</v>
      </c>
      <c r="C42" s="2" t="str">
        <f t="shared" si="13"/>
        <v>Mar</v>
      </c>
      <c r="D42" s="7">
        <f t="shared" si="14"/>
        <v>6306375</v>
      </c>
      <c r="Q42"/>
      <c r="R42"/>
      <c r="S42"/>
    </row>
    <row r="43" spans="1:19" ht="14.4" x14ac:dyDescent="0.3">
      <c r="A43" s="13" t="s">
        <v>255</v>
      </c>
      <c r="B43" s="7">
        <v>6367700</v>
      </c>
      <c r="C43" s="2" t="str">
        <f t="shared" si="13"/>
        <v>Apr</v>
      </c>
      <c r="D43" s="7">
        <f t="shared" si="14"/>
        <v>6367700</v>
      </c>
      <c r="Q43"/>
      <c r="R43"/>
      <c r="S43"/>
    </row>
    <row r="44" spans="1:19" ht="14.4" x14ac:dyDescent="0.3">
      <c r="A44" s="13" t="s">
        <v>230</v>
      </c>
      <c r="B44" s="7">
        <v>7556700</v>
      </c>
      <c r="C44" s="2" t="str">
        <f t="shared" si="13"/>
        <v>May</v>
      </c>
      <c r="D44" s="7">
        <f t="shared" si="14"/>
        <v>7556700</v>
      </c>
      <c r="Q44"/>
    </row>
    <row r="45" spans="1:19" ht="14.4" x14ac:dyDescent="0.3">
      <c r="A45" s="13" t="s">
        <v>256</v>
      </c>
      <c r="B45" s="7">
        <v>5440450</v>
      </c>
      <c r="C45" s="2" t="str">
        <f t="shared" si="13"/>
        <v>Jun</v>
      </c>
      <c r="D45" s="7">
        <f t="shared" si="14"/>
        <v>5440450</v>
      </c>
      <c r="Q45"/>
    </row>
    <row r="46" spans="1:19" ht="14.4" x14ac:dyDescent="0.3">
      <c r="A46" s="13" t="s">
        <v>257</v>
      </c>
      <c r="B46" s="7">
        <v>6709275</v>
      </c>
      <c r="C46" s="2" t="str">
        <f t="shared" si="13"/>
        <v>Jul</v>
      </c>
      <c r="D46" s="7">
        <f t="shared" si="14"/>
        <v>6709275</v>
      </c>
      <c r="Q46"/>
    </row>
    <row r="47" spans="1:19" ht="14.4" x14ac:dyDescent="0.3">
      <c r="A47" s="13" t="s">
        <v>258</v>
      </c>
      <c r="B47" s="7">
        <v>3201375</v>
      </c>
      <c r="C47" s="2" t="str">
        <f t="shared" si="13"/>
        <v>Aug</v>
      </c>
      <c r="D47" s="7">
        <f t="shared" si="14"/>
        <v>3201375</v>
      </c>
      <c r="Q47"/>
    </row>
    <row r="48" spans="1:19" ht="14.4" x14ac:dyDescent="0.3">
      <c r="A48" s="13" t="s">
        <v>248</v>
      </c>
      <c r="B48" s="7">
        <v>47810625</v>
      </c>
      <c r="Q48"/>
    </row>
    <row r="49" spans="17:17" ht="14.4" x14ac:dyDescent="0.3">
      <c r="Q49"/>
    </row>
    <row r="50" spans="17:17" ht="14.4" x14ac:dyDescent="0.3">
      <c r="Q50"/>
    </row>
    <row r="51" spans="17:17" ht="14.4" x14ac:dyDescent="0.3">
      <c r="Q51"/>
    </row>
    <row r="52" spans="17:17" ht="14.4" x14ac:dyDescent="0.3">
      <c r="Q52"/>
    </row>
    <row r="53" spans="17:17" ht="14.4" x14ac:dyDescent="0.3">
      <c r="Q53"/>
    </row>
    <row r="54" spans="17:17" ht="14.4" x14ac:dyDescent="0.3">
      <c r="Q54"/>
    </row>
    <row r="55" spans="17:17" ht="14.4" x14ac:dyDescent="0.3">
      <c r="Q55"/>
    </row>
    <row r="56" spans="17:17" ht="14.4" x14ac:dyDescent="0.3">
      <c r="Q56"/>
    </row>
    <row r="57" spans="17:17" ht="14.4" x14ac:dyDescent="0.3">
      <c r="Q57"/>
    </row>
    <row r="58" spans="17:17" ht="14.4" x14ac:dyDescent="0.3">
      <c r="Q58"/>
    </row>
    <row r="59" spans="17:17" ht="14.4" x14ac:dyDescent="0.3">
      <c r="Q59"/>
    </row>
    <row r="60" spans="17:17" ht="14.4" x14ac:dyDescent="0.3">
      <c r="Q60"/>
    </row>
    <row r="61" spans="17:17" ht="14.4" x14ac:dyDescent="0.3">
      <c r="Q61"/>
    </row>
    <row r="62" spans="17:17" ht="14.4" x14ac:dyDescent="0.3">
      <c r="Q62"/>
    </row>
    <row r="63" spans="17:17" ht="14.4" x14ac:dyDescent="0.3">
      <c r="Q63"/>
    </row>
    <row r="64" spans="17:17" ht="14.4" x14ac:dyDescent="0.3">
      <c r="Q64"/>
    </row>
    <row r="65" spans="17:17" ht="14.4" x14ac:dyDescent="0.3">
      <c r="Q65"/>
    </row>
    <row r="66" spans="17:17" ht="14.4" x14ac:dyDescent="0.3">
      <c r="Q66"/>
    </row>
    <row r="67" spans="17:17" ht="14.4" x14ac:dyDescent="0.3">
      <c r="Q67"/>
    </row>
    <row r="68" spans="17:17" ht="14.4" x14ac:dyDescent="0.3">
      <c r="Q68"/>
    </row>
    <row r="69" spans="17:17" ht="14.4" x14ac:dyDescent="0.3">
      <c r="Q69"/>
    </row>
    <row r="70" spans="17:17" ht="14.4" x14ac:dyDescent="0.3">
      <c r="Q70"/>
    </row>
    <row r="71" spans="17:17" ht="14.4" x14ac:dyDescent="0.3">
      <c r="Q71"/>
    </row>
    <row r="72" spans="17:17" ht="14.4" x14ac:dyDescent="0.3">
      <c r="Q72"/>
    </row>
    <row r="73" spans="17:17" ht="14.4" x14ac:dyDescent="0.3">
      <c r="Q73"/>
    </row>
    <row r="74" spans="17:17" ht="14.4" x14ac:dyDescent="0.3">
      <c r="Q74"/>
    </row>
    <row r="75" spans="17:17" ht="14.4" x14ac:dyDescent="0.3">
      <c r="Q75"/>
    </row>
    <row r="76" spans="17:17" ht="14.4" x14ac:dyDescent="0.3">
      <c r="Q76"/>
    </row>
    <row r="77" spans="17:17" ht="14.4" x14ac:dyDescent="0.3">
      <c r="Q77"/>
    </row>
    <row r="78" spans="17:17" ht="14.4" x14ac:dyDescent="0.3">
      <c r="Q78"/>
    </row>
    <row r="79" spans="17:17" ht="14.4" x14ac:dyDescent="0.3">
      <c r="Q79"/>
    </row>
    <row r="80" spans="17:17" ht="14.4" x14ac:dyDescent="0.3">
      <c r="Q80"/>
    </row>
    <row r="81" spans="17:17" ht="14.4" x14ac:dyDescent="0.3">
      <c r="Q81"/>
    </row>
    <row r="82" spans="17:17" ht="14.4" x14ac:dyDescent="0.3">
      <c r="Q82"/>
    </row>
    <row r="83" spans="17:17" ht="14.4" x14ac:dyDescent="0.3">
      <c r="Q83"/>
    </row>
    <row r="84" spans="17:17" ht="14.4" x14ac:dyDescent="0.3">
      <c r="Q84"/>
    </row>
    <row r="85" spans="17:17" ht="14.4" x14ac:dyDescent="0.3">
      <c r="Q85"/>
    </row>
    <row r="86" spans="17:17" ht="14.4" x14ac:dyDescent="0.3">
      <c r="Q86"/>
    </row>
    <row r="87" spans="17:17" ht="14.4" x14ac:dyDescent="0.3">
      <c r="Q87"/>
    </row>
    <row r="88" spans="17:17" ht="14.4" x14ac:dyDescent="0.3">
      <c r="Q88"/>
    </row>
    <row r="89" spans="17:17" ht="14.4" x14ac:dyDescent="0.3">
      <c r="Q89"/>
    </row>
    <row r="90" spans="17:17" ht="14.4" x14ac:dyDescent="0.3">
      <c r="Q90"/>
    </row>
    <row r="91" spans="17:17" ht="14.4" x14ac:dyDescent="0.3">
      <c r="Q91"/>
    </row>
    <row r="92" spans="17:17" ht="14.4" x14ac:dyDescent="0.3">
      <c r="Q92"/>
    </row>
    <row r="93" spans="17:17" ht="14.4" x14ac:dyDescent="0.3">
      <c r="Q93"/>
    </row>
    <row r="94" spans="17:17" ht="14.4" x14ac:dyDescent="0.3">
      <c r="Q94"/>
    </row>
    <row r="95" spans="17:17" ht="14.4" x14ac:dyDescent="0.3">
      <c r="Q95"/>
    </row>
    <row r="96" spans="17:17" ht="14.4" x14ac:dyDescent="0.3">
      <c r="Q96"/>
    </row>
    <row r="97" spans="17:17" ht="14.4" x14ac:dyDescent="0.3">
      <c r="Q97"/>
    </row>
    <row r="98" spans="17:17" ht="14.4" x14ac:dyDescent="0.3">
      <c r="Q98"/>
    </row>
    <row r="99" spans="17:17" ht="14.4" x14ac:dyDescent="0.3">
      <c r="Q99"/>
    </row>
    <row r="100" spans="17:17" ht="14.4" x14ac:dyDescent="0.3">
      <c r="Q100"/>
    </row>
    <row r="101" spans="17:17" ht="14.4" x14ac:dyDescent="0.3">
      <c r="Q101"/>
    </row>
    <row r="102" spans="17:17" ht="14.4" x14ac:dyDescent="0.3">
      <c r="Q102"/>
    </row>
    <row r="103" spans="17:17" ht="14.4" x14ac:dyDescent="0.3">
      <c r="Q103"/>
    </row>
    <row r="104" spans="17:17" ht="14.4" x14ac:dyDescent="0.3">
      <c r="Q104"/>
    </row>
    <row r="105" spans="17:17" ht="14.4" x14ac:dyDescent="0.3">
      <c r="Q105"/>
    </row>
    <row r="106" spans="17:17" ht="14.4" x14ac:dyDescent="0.3">
      <c r="Q106"/>
    </row>
    <row r="107" spans="17:17" ht="14.4" x14ac:dyDescent="0.3">
      <c r="Q107"/>
    </row>
    <row r="108" spans="17:17" ht="14.4" x14ac:dyDescent="0.3">
      <c r="Q108"/>
    </row>
    <row r="109" spans="17:17" ht="14.4" x14ac:dyDescent="0.3">
      <c r="Q109"/>
    </row>
    <row r="110" spans="17:17" ht="14.4" x14ac:dyDescent="0.3">
      <c r="Q110"/>
    </row>
    <row r="111" spans="17:17" ht="14.4" x14ac:dyDescent="0.3">
      <c r="Q111"/>
    </row>
    <row r="112" spans="17:17" ht="14.4" x14ac:dyDescent="0.3">
      <c r="Q112"/>
    </row>
    <row r="113" spans="17:17" ht="14.4" x14ac:dyDescent="0.3">
      <c r="Q113"/>
    </row>
    <row r="114" spans="17:17" ht="14.4" x14ac:dyDescent="0.3">
      <c r="Q114"/>
    </row>
    <row r="115" spans="17:17" ht="14.4" x14ac:dyDescent="0.3">
      <c r="Q115"/>
    </row>
    <row r="116" spans="17:17" ht="14.4" x14ac:dyDescent="0.3">
      <c r="Q116"/>
    </row>
    <row r="117" spans="17:17" ht="14.4" x14ac:dyDescent="0.3">
      <c r="Q117"/>
    </row>
    <row r="118" spans="17:17" ht="14.4" x14ac:dyDescent="0.3">
      <c r="Q118"/>
    </row>
    <row r="119" spans="17:17" ht="14.4" x14ac:dyDescent="0.3">
      <c r="Q119"/>
    </row>
    <row r="120" spans="17:17" ht="14.4" x14ac:dyDescent="0.3">
      <c r="Q120"/>
    </row>
    <row r="121" spans="17:17" ht="14.4" x14ac:dyDescent="0.3">
      <c r="Q121"/>
    </row>
    <row r="122" spans="17:17" ht="14.4" x14ac:dyDescent="0.3">
      <c r="Q122"/>
    </row>
    <row r="123" spans="17:17" ht="14.4" x14ac:dyDescent="0.3">
      <c r="Q123"/>
    </row>
    <row r="124" spans="17:17" ht="14.4" x14ac:dyDescent="0.3">
      <c r="Q124"/>
    </row>
    <row r="125" spans="17:17" ht="14.4" x14ac:dyDescent="0.3">
      <c r="Q125"/>
    </row>
    <row r="126" spans="17:17" ht="14.4" x14ac:dyDescent="0.3">
      <c r="Q126"/>
    </row>
    <row r="127" spans="17:17" ht="14.4" x14ac:dyDescent="0.3">
      <c r="Q127"/>
    </row>
    <row r="128" spans="17:17" ht="14.4" x14ac:dyDescent="0.3">
      <c r="Q128"/>
    </row>
    <row r="129" spans="17:17" ht="14.4" x14ac:dyDescent="0.3">
      <c r="Q129"/>
    </row>
    <row r="130" spans="17:17" ht="14.4" x14ac:dyDescent="0.3">
      <c r="Q130"/>
    </row>
    <row r="131" spans="17:17" ht="14.4" x14ac:dyDescent="0.3">
      <c r="Q131"/>
    </row>
    <row r="132" spans="17:17" ht="14.4" x14ac:dyDescent="0.3">
      <c r="Q132"/>
    </row>
    <row r="133" spans="17:17" ht="14.4" x14ac:dyDescent="0.3">
      <c r="Q133"/>
    </row>
    <row r="134" spans="17:17" ht="14.4" x14ac:dyDescent="0.3">
      <c r="Q134"/>
    </row>
    <row r="135" spans="17:17" ht="14.4" x14ac:dyDescent="0.3">
      <c r="Q135"/>
    </row>
    <row r="136" spans="17:17" ht="14.4" x14ac:dyDescent="0.3">
      <c r="Q136"/>
    </row>
    <row r="137" spans="17:17" ht="14.4" x14ac:dyDescent="0.3">
      <c r="Q137"/>
    </row>
    <row r="138" spans="17:17" ht="14.4" x14ac:dyDescent="0.3">
      <c r="Q138"/>
    </row>
    <row r="139" spans="17:17" ht="14.4" x14ac:dyDescent="0.3">
      <c r="Q139"/>
    </row>
    <row r="140" spans="17:17" ht="14.4" x14ac:dyDescent="0.3">
      <c r="Q140"/>
    </row>
    <row r="141" spans="17:17" ht="14.4" x14ac:dyDescent="0.3">
      <c r="Q141"/>
    </row>
    <row r="142" spans="17:17" ht="14.4" x14ac:dyDescent="0.3">
      <c r="Q142"/>
    </row>
    <row r="143" spans="17:17" ht="14.4" x14ac:dyDescent="0.3">
      <c r="Q143"/>
    </row>
    <row r="144" spans="17:17" ht="14.4" x14ac:dyDescent="0.3">
      <c r="Q144"/>
    </row>
    <row r="145" spans="17:17" ht="14.4" x14ac:dyDescent="0.3">
      <c r="Q145"/>
    </row>
    <row r="146" spans="17:17" ht="14.4" x14ac:dyDescent="0.3">
      <c r="Q146"/>
    </row>
    <row r="147" spans="17:17" ht="14.4" x14ac:dyDescent="0.3">
      <c r="Q147"/>
    </row>
    <row r="148" spans="17:17" ht="14.4" x14ac:dyDescent="0.3">
      <c r="Q148"/>
    </row>
    <row r="149" spans="17:17" ht="14.4" x14ac:dyDescent="0.3">
      <c r="Q149"/>
    </row>
    <row r="150" spans="17:17" ht="14.4" x14ac:dyDescent="0.3">
      <c r="Q150"/>
    </row>
    <row r="151" spans="17:17" ht="14.4" x14ac:dyDescent="0.3">
      <c r="Q151"/>
    </row>
    <row r="152" spans="17:17" ht="14.4" x14ac:dyDescent="0.3">
      <c r="Q152"/>
    </row>
    <row r="153" spans="17:17" ht="14.4" x14ac:dyDescent="0.3">
      <c r="Q153"/>
    </row>
    <row r="154" spans="17:17" ht="14.4" x14ac:dyDescent="0.3">
      <c r="Q154"/>
    </row>
    <row r="155" spans="17:17" ht="14.4" x14ac:dyDescent="0.3">
      <c r="Q155"/>
    </row>
    <row r="156" spans="17:17" ht="14.4" x14ac:dyDescent="0.3">
      <c r="Q156"/>
    </row>
    <row r="157" spans="17:17" ht="14.4" x14ac:dyDescent="0.3">
      <c r="Q157"/>
    </row>
    <row r="158" spans="17:17" ht="14.4" x14ac:dyDescent="0.3">
      <c r="Q158"/>
    </row>
    <row r="159" spans="17:17" ht="14.4" x14ac:dyDescent="0.3">
      <c r="Q159"/>
    </row>
    <row r="160" spans="17:17" ht="14.4" x14ac:dyDescent="0.3">
      <c r="Q160"/>
    </row>
    <row r="161" spans="17:17" ht="14.4" x14ac:dyDescent="0.3">
      <c r="Q161"/>
    </row>
    <row r="162" spans="17:17" ht="14.4" x14ac:dyDescent="0.3">
      <c r="Q162"/>
    </row>
    <row r="163" spans="17:17" ht="14.4" x14ac:dyDescent="0.3">
      <c r="Q163"/>
    </row>
    <row r="164" spans="17:17" ht="14.4" x14ac:dyDescent="0.3">
      <c r="Q164"/>
    </row>
    <row r="165" spans="17:17" ht="14.4" x14ac:dyDescent="0.3">
      <c r="Q165"/>
    </row>
    <row r="166" spans="17:17" ht="14.4" x14ac:dyDescent="0.3">
      <c r="Q166"/>
    </row>
    <row r="167" spans="17:17" ht="14.4" x14ac:dyDescent="0.3">
      <c r="Q167"/>
    </row>
    <row r="168" spans="17:17" ht="14.4" x14ac:dyDescent="0.3">
      <c r="Q168"/>
    </row>
    <row r="169" spans="17:17" ht="14.4" x14ac:dyDescent="0.3">
      <c r="Q169"/>
    </row>
    <row r="170" spans="17:17" ht="14.4" x14ac:dyDescent="0.3">
      <c r="Q170"/>
    </row>
    <row r="171" spans="17:17" ht="14.4" x14ac:dyDescent="0.3">
      <c r="Q171"/>
    </row>
    <row r="172" spans="17:17" ht="14.4" x14ac:dyDescent="0.3">
      <c r="Q172"/>
    </row>
    <row r="173" spans="17:17" ht="14.4" x14ac:dyDescent="0.3">
      <c r="Q173"/>
    </row>
    <row r="174" spans="17:17" ht="14.4" x14ac:dyDescent="0.3">
      <c r="Q174"/>
    </row>
    <row r="175" spans="17:17" ht="14.4" x14ac:dyDescent="0.3">
      <c r="Q175"/>
    </row>
    <row r="176" spans="17:17" ht="14.4" x14ac:dyDescent="0.3">
      <c r="Q176"/>
    </row>
    <row r="177" spans="17:17" ht="14.4" x14ac:dyDescent="0.3">
      <c r="Q177"/>
    </row>
    <row r="178" spans="17:17" ht="14.4" x14ac:dyDescent="0.3">
      <c r="Q178"/>
    </row>
    <row r="179" spans="17:17" ht="14.4" x14ac:dyDescent="0.3">
      <c r="Q179"/>
    </row>
    <row r="180" spans="17:17" ht="14.4" x14ac:dyDescent="0.3">
      <c r="Q180"/>
    </row>
    <row r="181" spans="17:17" ht="14.4" x14ac:dyDescent="0.3">
      <c r="Q181"/>
    </row>
    <row r="182" spans="17:17" ht="14.4" x14ac:dyDescent="0.3">
      <c r="Q182"/>
    </row>
    <row r="183" spans="17:17" ht="14.4" x14ac:dyDescent="0.3">
      <c r="Q183"/>
    </row>
    <row r="184" spans="17:17" ht="14.4" x14ac:dyDescent="0.3">
      <c r="Q184"/>
    </row>
    <row r="185" spans="17:17" ht="14.4" x14ac:dyDescent="0.3">
      <c r="Q185"/>
    </row>
    <row r="186" spans="17:17" ht="14.4" x14ac:dyDescent="0.3">
      <c r="Q186"/>
    </row>
    <row r="187" spans="17:17" ht="14.4" x14ac:dyDescent="0.3">
      <c r="Q187"/>
    </row>
    <row r="188" spans="17:17" ht="14.4" x14ac:dyDescent="0.3">
      <c r="Q188"/>
    </row>
    <row r="189" spans="17:17" ht="14.4" x14ac:dyDescent="0.3">
      <c r="Q189"/>
    </row>
    <row r="190" spans="17:17" ht="14.4" x14ac:dyDescent="0.3">
      <c r="Q190"/>
    </row>
    <row r="191" spans="17:17" ht="14.4" x14ac:dyDescent="0.3">
      <c r="Q191"/>
    </row>
    <row r="192" spans="17:17" ht="14.4" x14ac:dyDescent="0.3">
      <c r="Q192"/>
    </row>
    <row r="193" spans="17:17" ht="14.4" x14ac:dyDescent="0.3">
      <c r="Q193"/>
    </row>
    <row r="194" spans="17:17" ht="14.4" x14ac:dyDescent="0.3">
      <c r="Q194"/>
    </row>
    <row r="195" spans="17:17" ht="14.4" x14ac:dyDescent="0.3">
      <c r="Q195"/>
    </row>
    <row r="196" spans="17:17" ht="14.4" x14ac:dyDescent="0.3">
      <c r="Q196"/>
    </row>
    <row r="197" spans="17:17" ht="14.4" x14ac:dyDescent="0.3">
      <c r="Q197"/>
    </row>
    <row r="198" spans="17:17" ht="14.4" x14ac:dyDescent="0.3">
      <c r="Q198"/>
    </row>
    <row r="199" spans="17:17" ht="14.4" x14ac:dyDescent="0.3">
      <c r="Q19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435"/>
  <sheetViews>
    <sheetView showGridLines="0" zoomScaleNormal="100" workbookViewId="0">
      <pane ySplit="1" topLeftCell="A53" activePane="bottomLeft" state="frozen"/>
      <selection pane="bottomLeft" activeCell="N12" sqref="N12"/>
    </sheetView>
  </sheetViews>
  <sheetFormatPr defaultColWidth="8.6640625" defaultRowHeight="13.8" x14ac:dyDescent="0.25"/>
  <cols>
    <col min="1" max="1" width="13" style="2" customWidth="1"/>
    <col min="2" max="2" width="11" style="2" customWidth="1"/>
    <col min="3" max="3" width="9" style="2" customWidth="1"/>
    <col min="4" max="4" width="13" style="2" customWidth="1"/>
    <col min="5" max="5" width="10" style="2" customWidth="1"/>
    <col min="6" max="6" width="14" style="2" customWidth="1"/>
    <col min="7" max="7" width="13" style="2" customWidth="1"/>
    <col min="8" max="8" width="11" style="2" customWidth="1"/>
    <col min="9" max="9" width="12" style="2" customWidth="1"/>
    <col min="10" max="10" width="7" style="2" customWidth="1"/>
    <col min="11" max="11" width="11" style="2" customWidth="1"/>
    <col min="12" max="12" width="9" style="2" customWidth="1"/>
    <col min="13" max="13" width="15" style="2" customWidth="1"/>
    <col min="14" max="16" width="13" style="2" customWidth="1"/>
    <col min="17" max="17" width="12" style="2" customWidth="1"/>
    <col min="18" max="18" width="13" style="2" customWidth="1"/>
    <col min="19" max="19" width="10" style="2" customWidth="1"/>
    <col min="20" max="20" width="11" style="2" customWidth="1"/>
    <col min="21" max="21" width="10" style="2" customWidth="1"/>
    <col min="22" max="22" width="13.88671875" style="2" bestFit="1" customWidth="1"/>
    <col min="23" max="16384" width="8.6640625" style="2"/>
  </cols>
  <sheetData>
    <row r="1" spans="1:22" ht="41.4" x14ac:dyDescent="0.3">
      <c r="A1" s="1" t="s">
        <v>231</v>
      </c>
      <c r="B1" s="1" t="s">
        <v>0</v>
      </c>
      <c r="C1" s="1" t="s">
        <v>232</v>
      </c>
      <c r="D1" s="8" t="s">
        <v>1</v>
      </c>
      <c r="E1" s="1" t="s">
        <v>2</v>
      </c>
      <c r="F1" s="8" t="s">
        <v>246</v>
      </c>
      <c r="G1" s="1" t="s">
        <v>4</v>
      </c>
      <c r="H1" s="1" t="s">
        <v>234</v>
      </c>
      <c r="I1" s="1" t="s">
        <v>235</v>
      </c>
      <c r="J1" s="1" t="s">
        <v>5</v>
      </c>
      <c r="K1" s="1" t="s">
        <v>236</v>
      </c>
      <c r="L1" s="1" t="s">
        <v>237</v>
      </c>
      <c r="M1" s="1" t="s">
        <v>238</v>
      </c>
      <c r="N1" s="9" t="s">
        <v>242</v>
      </c>
      <c r="O1" s="1" t="s">
        <v>239</v>
      </c>
      <c r="P1" s="9" t="s">
        <v>243</v>
      </c>
      <c r="Q1" s="9" t="s">
        <v>244</v>
      </c>
      <c r="R1" s="9" t="s">
        <v>245</v>
      </c>
      <c r="S1" s="1" t="s">
        <v>240</v>
      </c>
      <c r="T1" s="1" t="s">
        <v>241</v>
      </c>
      <c r="U1" s="9" t="s">
        <v>229</v>
      </c>
      <c r="V1" s="10" t="s">
        <v>250</v>
      </c>
    </row>
    <row r="2" spans="1:22" x14ac:dyDescent="0.25">
      <c r="A2" s="3">
        <f>'Raw Data'!A2</f>
        <v>100001</v>
      </c>
      <c r="B2" s="4">
        <f>'Raw Data'!B2</f>
        <v>46167</v>
      </c>
      <c r="C2" s="3" t="str">
        <f>'Raw Data'!C2</f>
        <v>AB-02</v>
      </c>
      <c r="D2" s="3" t="str">
        <f>PROPER(TRIM('Raw Data'!D2))</f>
        <v>Abuja</v>
      </c>
      <c r="E2" s="3" t="str">
        <f>'Raw Data'!E2</f>
        <v>WhatsApp</v>
      </c>
      <c r="F2" s="3" t="str">
        <f>IF(PROPER(TRIM('Raw Data'!F2))="Accessory","Accessories",PROPER(TRIM('Raw Data'!F2)))</f>
        <v>Home</v>
      </c>
      <c r="G2" s="3" t="str">
        <f>'Raw Data'!G2</f>
        <v>Standing Fan</v>
      </c>
      <c r="H2" s="3" t="str">
        <f>'Raw Data'!H2</f>
        <v>C1141</v>
      </c>
      <c r="I2" s="3" t="str">
        <f>'Raw Data'!I2</f>
        <v>New</v>
      </c>
      <c r="J2" s="3">
        <f>'Raw Data'!J2</f>
        <v>1</v>
      </c>
      <c r="K2" s="5">
        <f>'Raw Data'!K2</f>
        <v>58000</v>
      </c>
      <c r="L2" s="6">
        <f>'Raw Data'!L2</f>
        <v>0</v>
      </c>
      <c r="M2" s="5">
        <f>'Raw Data'!M2</f>
        <v>58000</v>
      </c>
      <c r="N2" s="5">
        <f t="shared" ref="N2:N65" si="0">J2*K2*(1-L2)</f>
        <v>58000</v>
      </c>
      <c r="O2" s="3">
        <f>'Raw Data'!N2</f>
        <v>0</v>
      </c>
      <c r="P2" s="5">
        <f>IF(ISBLANK('Raw Data'!N2),AVERAGEIFS('Raw Data'!$N$2:$N$433,'Raw Data'!$G$2:$G$433,G2),'Raw Data'!N2)</f>
        <v>39000</v>
      </c>
      <c r="Q2" s="5">
        <f t="shared" ref="Q2:Q65" si="1">J2*P2</f>
        <v>39000</v>
      </c>
      <c r="R2" s="5">
        <f t="shared" ref="R2:R65" si="2">N2-Q2</f>
        <v>19000</v>
      </c>
      <c r="S2" s="3" t="str">
        <f>'Raw Data'!O2</f>
        <v>No</v>
      </c>
      <c r="T2" s="3" t="str">
        <f>'Raw Data'!P2</f>
        <v>Chinedu</v>
      </c>
      <c r="U2" s="3" t="str">
        <f t="shared" ref="U2:U65" si="3">TEXT(B2,"mmmm")</f>
        <v>May</v>
      </c>
      <c r="V2" s="11">
        <f>IF(S2="No",0,1)</f>
        <v>0</v>
      </c>
    </row>
    <row r="3" spans="1:22" x14ac:dyDescent="0.25">
      <c r="A3" s="3">
        <f>'Raw Data'!A3</f>
        <v>100002</v>
      </c>
      <c r="B3" s="4">
        <f>'Raw Data'!B3</f>
        <v>46129</v>
      </c>
      <c r="C3" s="3" t="str">
        <f>'Raw Data'!C3</f>
        <v>LG-01</v>
      </c>
      <c r="D3" s="3" t="str">
        <f>PROPER(TRIM('Raw Data'!D3))</f>
        <v>Lagos</v>
      </c>
      <c r="E3" s="3" t="str">
        <f>'Raw Data'!E3</f>
        <v>WhatsApp</v>
      </c>
      <c r="F3" s="3" t="str">
        <f>IF(PROPER(TRIM('Raw Data'!F3))="Accessory","Accessories",PROPER(TRIM('Raw Data'!F3)))</f>
        <v>Electronics</v>
      </c>
      <c r="G3" s="3" t="str">
        <f>'Raw Data'!G3</f>
        <v>Smartphone</v>
      </c>
      <c r="H3" s="3" t="str">
        <f>'Raw Data'!H3</f>
        <v>C1083</v>
      </c>
      <c r="I3" s="3" t="str">
        <f>'Raw Data'!I3</f>
        <v>Returning</v>
      </c>
      <c r="J3" s="3">
        <f>'Raw Data'!J3</f>
        <v>5</v>
      </c>
      <c r="K3" s="5">
        <f>'Raw Data'!K3</f>
        <v>165000</v>
      </c>
      <c r="L3" s="6">
        <f>'Raw Data'!L3</f>
        <v>0.05</v>
      </c>
      <c r="M3" s="5">
        <f>'Raw Data'!M3</f>
        <v>627000</v>
      </c>
      <c r="N3" s="5">
        <f t="shared" si="0"/>
        <v>783750</v>
      </c>
      <c r="O3" s="5">
        <f>'Raw Data'!N3</f>
        <v>112000</v>
      </c>
      <c r="P3" s="5">
        <f>IF(ISBLANK('Raw Data'!N3),AVERAGEIFS('Raw Data'!$N$2:$N$433,'Raw Data'!$G$2:$G$433,G3),'Raw Data'!N3)</f>
        <v>112000</v>
      </c>
      <c r="Q3" s="5">
        <f t="shared" si="1"/>
        <v>560000</v>
      </c>
      <c r="R3" s="5">
        <f t="shared" si="2"/>
        <v>223750</v>
      </c>
      <c r="S3" s="3" t="str">
        <f>'Raw Data'!O3</f>
        <v>No</v>
      </c>
      <c r="T3" s="3" t="str">
        <f>'Raw Data'!P3</f>
        <v>Kemi</v>
      </c>
      <c r="U3" s="3" t="str">
        <f t="shared" si="3"/>
        <v>April</v>
      </c>
      <c r="V3" s="11">
        <f t="shared" ref="V3:V66" si="4">IF(S3="No",0,1)</f>
        <v>0</v>
      </c>
    </row>
    <row r="4" spans="1:22" x14ac:dyDescent="0.25">
      <c r="A4" s="3">
        <f>'Raw Data'!A4</f>
        <v>100003</v>
      </c>
      <c r="B4" s="4">
        <f>'Raw Data'!B4</f>
        <v>46079</v>
      </c>
      <c r="C4" s="3" t="str">
        <f>'Raw Data'!C4</f>
        <v>AB-01</v>
      </c>
      <c r="D4" s="3" t="str">
        <f>PROPER(TRIM('Raw Data'!D4))</f>
        <v>Abuja</v>
      </c>
      <c r="E4" s="3" t="str">
        <f>'Raw Data'!E4</f>
        <v>WhatsApp</v>
      </c>
      <c r="F4" s="3" t="str">
        <f>IF(PROPER(TRIM('Raw Data'!F4))="Accessory","Accessories",PROPER(TRIM('Raw Data'!F4)))</f>
        <v>Electronics</v>
      </c>
      <c r="G4" s="3" t="str">
        <f>'Raw Data'!G4</f>
        <v>Earbuds</v>
      </c>
      <c r="H4" s="3" t="str">
        <f>'Raw Data'!H4</f>
        <v>C1029</v>
      </c>
      <c r="I4" s="3" t="str">
        <f>'Raw Data'!I4</f>
        <v>Returning</v>
      </c>
      <c r="J4" s="3">
        <f>'Raw Data'!J4</f>
        <v>3</v>
      </c>
      <c r="K4" s="5">
        <f>'Raw Data'!K4</f>
        <v>32000</v>
      </c>
      <c r="L4" s="6">
        <f>'Raw Data'!L4</f>
        <v>0.2</v>
      </c>
      <c r="M4" s="5">
        <f>'Raw Data'!M4</f>
        <v>76800</v>
      </c>
      <c r="N4" s="5">
        <f t="shared" si="0"/>
        <v>76800</v>
      </c>
      <c r="O4" s="5">
        <f>'Raw Data'!N4</f>
        <v>19000</v>
      </c>
      <c r="P4" s="5">
        <f>IF(ISBLANK('Raw Data'!N4),AVERAGEIFS('Raw Data'!$N$2:$N$433,'Raw Data'!$G$2:$G$433,G4),'Raw Data'!N4)</f>
        <v>19000</v>
      </c>
      <c r="Q4" s="5">
        <f t="shared" si="1"/>
        <v>57000</v>
      </c>
      <c r="R4" s="5">
        <f t="shared" si="2"/>
        <v>19800</v>
      </c>
      <c r="S4" s="3" t="str">
        <f>'Raw Data'!O4</f>
        <v>No</v>
      </c>
      <c r="T4" s="3" t="str">
        <f>'Raw Data'!P4</f>
        <v>Chinedu</v>
      </c>
      <c r="U4" s="3" t="str">
        <f t="shared" si="3"/>
        <v>February</v>
      </c>
      <c r="V4" s="11">
        <f t="shared" si="4"/>
        <v>0</v>
      </c>
    </row>
    <row r="5" spans="1:22" x14ac:dyDescent="0.25">
      <c r="A5" s="3">
        <f>'Raw Data'!A5</f>
        <v>100004</v>
      </c>
      <c r="B5" s="4">
        <f>'Raw Data'!B5</f>
        <v>46182</v>
      </c>
      <c r="C5" s="3" t="str">
        <f>'Raw Data'!C5</f>
        <v>KN-01</v>
      </c>
      <c r="D5" s="3" t="str">
        <f>PROPER(TRIM('Raw Data'!D5))</f>
        <v>Kano</v>
      </c>
      <c r="E5" s="3" t="str">
        <f>'Raw Data'!E5</f>
        <v>Online</v>
      </c>
      <c r="F5" s="3" t="str">
        <f>IF(PROPER(TRIM('Raw Data'!F5))="Accessory","Accessories",PROPER(TRIM('Raw Data'!F5)))</f>
        <v>Electronics</v>
      </c>
      <c r="G5" s="3" t="str">
        <f>'Raw Data'!G5</f>
        <v>Power Bank</v>
      </c>
      <c r="H5" s="3" t="str">
        <f>'Raw Data'!H5</f>
        <v>C1082</v>
      </c>
      <c r="I5" s="3" t="str">
        <f>'Raw Data'!I5</f>
        <v>Returning</v>
      </c>
      <c r="J5" s="3">
        <f>'Raw Data'!J5</f>
        <v>4</v>
      </c>
      <c r="K5" s="5">
        <f>'Raw Data'!K5</f>
        <v>26000</v>
      </c>
      <c r="L5" s="6">
        <f>'Raw Data'!L5</f>
        <v>0</v>
      </c>
      <c r="M5" s="5">
        <f>'Raw Data'!M5</f>
        <v>104000</v>
      </c>
      <c r="N5" s="5">
        <f t="shared" si="0"/>
        <v>104000</v>
      </c>
      <c r="O5" s="5">
        <f>'Raw Data'!N5</f>
        <v>15000</v>
      </c>
      <c r="P5" s="5">
        <f>IF(ISBLANK('Raw Data'!N5),AVERAGEIFS('Raw Data'!$N$2:$N$433,'Raw Data'!$G$2:$G$433,G5),'Raw Data'!N5)</f>
        <v>15000</v>
      </c>
      <c r="Q5" s="5">
        <f t="shared" si="1"/>
        <v>60000</v>
      </c>
      <c r="R5" s="5">
        <f t="shared" si="2"/>
        <v>44000</v>
      </c>
      <c r="S5" s="3" t="str">
        <f>'Raw Data'!O5</f>
        <v>No</v>
      </c>
      <c r="T5" s="3" t="str">
        <f>'Raw Data'!P5</f>
        <v>Grace</v>
      </c>
      <c r="U5" s="3" t="str">
        <f t="shared" si="3"/>
        <v>June</v>
      </c>
      <c r="V5" s="11">
        <f t="shared" si="4"/>
        <v>0</v>
      </c>
    </row>
    <row r="6" spans="1:22" x14ac:dyDescent="0.25">
      <c r="A6" s="3">
        <f>'Raw Data'!A6</f>
        <v>100005</v>
      </c>
      <c r="B6" s="4">
        <f>'Raw Data'!B6</f>
        <v>46172</v>
      </c>
      <c r="C6" s="3" t="str">
        <f>'Raw Data'!C6</f>
        <v>LG-01</v>
      </c>
      <c r="D6" s="3" t="str">
        <f>PROPER(TRIM('Raw Data'!D6))</f>
        <v>Lagos</v>
      </c>
      <c r="E6" s="3" t="str">
        <f>'Raw Data'!E6</f>
        <v>Online</v>
      </c>
      <c r="F6" s="3" t="str">
        <f>IF(PROPER(TRIM('Raw Data'!F6))="Accessory","Accessories",PROPER(TRIM('Raw Data'!F6)))</f>
        <v>Electronics</v>
      </c>
      <c r="G6" s="3" t="str">
        <f>'Raw Data'!G6</f>
        <v>Smartphone</v>
      </c>
      <c r="H6" s="3" t="str">
        <f>'Raw Data'!H6</f>
        <v>C1180</v>
      </c>
      <c r="I6" s="3" t="str">
        <f>'Raw Data'!I6</f>
        <v>Returning</v>
      </c>
      <c r="J6" s="3">
        <f>'Raw Data'!J6</f>
        <v>1</v>
      </c>
      <c r="K6" s="5">
        <f>'Raw Data'!K6</f>
        <v>165000</v>
      </c>
      <c r="L6" s="6">
        <f>'Raw Data'!L6</f>
        <v>0.05</v>
      </c>
      <c r="M6" s="5">
        <f>'Raw Data'!M6</f>
        <v>156750</v>
      </c>
      <c r="N6" s="5">
        <f t="shared" si="0"/>
        <v>156750</v>
      </c>
      <c r="O6" s="5">
        <f>'Raw Data'!N6</f>
        <v>112000</v>
      </c>
      <c r="P6" s="5">
        <f>IF(ISBLANK('Raw Data'!N6),AVERAGEIFS('Raw Data'!$N$2:$N$433,'Raw Data'!$G$2:$G$433,G6),'Raw Data'!N6)</f>
        <v>112000</v>
      </c>
      <c r="Q6" s="5">
        <f t="shared" si="1"/>
        <v>112000</v>
      </c>
      <c r="R6" s="5">
        <f t="shared" si="2"/>
        <v>44750</v>
      </c>
      <c r="S6" s="3" t="str">
        <f>'Raw Data'!O6</f>
        <v>No</v>
      </c>
      <c r="T6" s="3" t="str">
        <f>'Raw Data'!P6</f>
        <v>Chinedu</v>
      </c>
      <c r="U6" s="3" t="str">
        <f t="shared" si="3"/>
        <v>May</v>
      </c>
      <c r="V6" s="11">
        <f t="shared" si="4"/>
        <v>0</v>
      </c>
    </row>
    <row r="7" spans="1:22" x14ac:dyDescent="0.25">
      <c r="A7" s="3">
        <f>'Raw Data'!A7</f>
        <v>100006</v>
      </c>
      <c r="B7" s="4">
        <f>'Raw Data'!B7</f>
        <v>46238</v>
      </c>
      <c r="C7" s="3" t="str">
        <f>'Raw Data'!C7</f>
        <v>LG-02</v>
      </c>
      <c r="D7" s="3" t="str">
        <f>PROPER(TRIM('Raw Data'!D7))</f>
        <v>Lagos</v>
      </c>
      <c r="E7" s="3" t="str">
        <f>'Raw Data'!E7</f>
        <v>In-store</v>
      </c>
      <c r="F7" s="3" t="str">
        <f>IF(PROPER(TRIM('Raw Data'!F7))="Accessory","Accessories",PROPER(TRIM('Raw Data'!F7)))</f>
        <v>Accessories</v>
      </c>
      <c r="G7" s="3" t="str">
        <f>'Raw Data'!G7</f>
        <v>USB Cable</v>
      </c>
      <c r="H7" s="3" t="str">
        <f>'Raw Data'!H7</f>
        <v>C1161</v>
      </c>
      <c r="I7" s="3" t="str">
        <f>'Raw Data'!I7</f>
        <v>Returning</v>
      </c>
      <c r="J7" s="3">
        <f>'Raw Data'!J7</f>
        <v>3</v>
      </c>
      <c r="K7" s="5">
        <f>'Raw Data'!K7</f>
        <v>6500</v>
      </c>
      <c r="L7" s="6">
        <f>'Raw Data'!L7</f>
        <v>0.1</v>
      </c>
      <c r="M7" s="5">
        <f>'Raw Data'!M7</f>
        <v>17550</v>
      </c>
      <c r="N7" s="5">
        <f t="shared" si="0"/>
        <v>17550</v>
      </c>
      <c r="O7" s="5">
        <f>'Raw Data'!N7</f>
        <v>2200</v>
      </c>
      <c r="P7" s="5">
        <f>IF(ISBLANK('Raw Data'!N7),AVERAGEIFS('Raw Data'!$N$2:$N$433,'Raw Data'!$G$2:$G$433,G7),'Raw Data'!N7)</f>
        <v>2200</v>
      </c>
      <c r="Q7" s="5">
        <f t="shared" si="1"/>
        <v>6600</v>
      </c>
      <c r="R7" s="5">
        <f t="shared" si="2"/>
        <v>10950</v>
      </c>
      <c r="S7" s="3" t="str">
        <f>'Raw Data'!O7</f>
        <v>No</v>
      </c>
      <c r="T7" s="3" t="str">
        <f>'Raw Data'!P7</f>
        <v>Bola</v>
      </c>
      <c r="U7" s="3" t="str">
        <f t="shared" si="3"/>
        <v>August</v>
      </c>
      <c r="V7" s="11">
        <f t="shared" si="4"/>
        <v>0</v>
      </c>
    </row>
    <row r="8" spans="1:22" x14ac:dyDescent="0.25">
      <c r="A8" s="3">
        <f>'Raw Data'!A8</f>
        <v>100007</v>
      </c>
      <c r="B8" s="4">
        <f>'Raw Data'!B8</f>
        <v>46090</v>
      </c>
      <c r="C8" s="3" t="str">
        <f>'Raw Data'!C8</f>
        <v>LG-01</v>
      </c>
      <c r="D8" s="3" t="str">
        <f>PROPER(TRIM('Raw Data'!D8))</f>
        <v>Lagos</v>
      </c>
      <c r="E8" s="3" t="str">
        <f>'Raw Data'!E8</f>
        <v>In-store</v>
      </c>
      <c r="F8" s="3" t="str">
        <f>IF(PROPER(TRIM('Raw Data'!F8))="Accessory","Accessories",PROPER(TRIM('Raw Data'!F8)))</f>
        <v>Electronics</v>
      </c>
      <c r="G8" s="3" t="str">
        <f>'Raw Data'!G8</f>
        <v>Power Bank</v>
      </c>
      <c r="H8" s="3" t="str">
        <f>'Raw Data'!H8</f>
        <v>C1007</v>
      </c>
      <c r="I8" s="3" t="str">
        <f>'Raw Data'!I8</f>
        <v>New</v>
      </c>
      <c r="J8" s="3">
        <f>'Raw Data'!J8</f>
        <v>3</v>
      </c>
      <c r="K8" s="5">
        <f>'Raw Data'!K8</f>
        <v>26000</v>
      </c>
      <c r="L8" s="6">
        <f>'Raw Data'!L8</f>
        <v>0.1</v>
      </c>
      <c r="M8" s="5">
        <f>'Raw Data'!M8</f>
        <v>70200</v>
      </c>
      <c r="N8" s="5">
        <f t="shared" si="0"/>
        <v>70200</v>
      </c>
      <c r="O8" s="5">
        <f>'Raw Data'!N8</f>
        <v>15000</v>
      </c>
      <c r="P8" s="5">
        <f>IF(ISBLANK('Raw Data'!N8),AVERAGEIFS('Raw Data'!$N$2:$N$433,'Raw Data'!$G$2:$G$433,G8),'Raw Data'!N8)</f>
        <v>15000</v>
      </c>
      <c r="Q8" s="5">
        <f t="shared" si="1"/>
        <v>45000</v>
      </c>
      <c r="R8" s="5">
        <f t="shared" si="2"/>
        <v>25200</v>
      </c>
      <c r="S8" s="3" t="str">
        <f>'Raw Data'!O8</f>
        <v>No</v>
      </c>
      <c r="T8" s="3" t="str">
        <f>'Raw Data'!P8</f>
        <v>Chinedu</v>
      </c>
      <c r="U8" s="3" t="str">
        <f t="shared" si="3"/>
        <v>March</v>
      </c>
      <c r="V8" s="11">
        <f t="shared" si="4"/>
        <v>0</v>
      </c>
    </row>
    <row r="9" spans="1:22" x14ac:dyDescent="0.25">
      <c r="A9" s="3">
        <f>'Raw Data'!A9</f>
        <v>100008</v>
      </c>
      <c r="B9" s="4">
        <f>'Raw Data'!B9</f>
        <v>46229</v>
      </c>
      <c r="C9" s="3" t="str">
        <f>'Raw Data'!C9</f>
        <v>KN-01</v>
      </c>
      <c r="D9" s="3" t="str">
        <f>PROPER(TRIM('Raw Data'!D9))</f>
        <v>Kano</v>
      </c>
      <c r="E9" s="3" t="str">
        <f>'Raw Data'!E9</f>
        <v>Online</v>
      </c>
      <c r="F9" s="3" t="str">
        <f>IF(PROPER(TRIM('Raw Data'!F9))="Accessory","Accessories",PROPER(TRIM('Raw Data'!F9)))</f>
        <v>Electronics</v>
      </c>
      <c r="G9" s="3" t="str">
        <f>'Raw Data'!G9</f>
        <v>Smartphone</v>
      </c>
      <c r="H9" s="3" t="str">
        <f>'Raw Data'!H9</f>
        <v>C1051</v>
      </c>
      <c r="I9" s="3" t="str">
        <f>'Raw Data'!I9</f>
        <v>Returning</v>
      </c>
      <c r="J9" s="3">
        <f>'Raw Data'!J9</f>
        <v>5</v>
      </c>
      <c r="K9" s="5">
        <f>'Raw Data'!K9</f>
        <v>165000</v>
      </c>
      <c r="L9" s="6">
        <f>'Raw Data'!L9</f>
        <v>0.05</v>
      </c>
      <c r="M9" s="5">
        <f>'Raw Data'!M9</f>
        <v>783750</v>
      </c>
      <c r="N9" s="5">
        <f t="shared" si="0"/>
        <v>783750</v>
      </c>
      <c r="O9" s="5">
        <f>'Raw Data'!N9</f>
        <v>112000</v>
      </c>
      <c r="P9" s="5">
        <f>IF(ISBLANK('Raw Data'!N9),AVERAGEIFS('Raw Data'!$N$2:$N$433,'Raw Data'!$G$2:$G$433,G9),'Raw Data'!N9)</f>
        <v>112000</v>
      </c>
      <c r="Q9" s="5">
        <f t="shared" si="1"/>
        <v>560000</v>
      </c>
      <c r="R9" s="5">
        <f t="shared" si="2"/>
        <v>223750</v>
      </c>
      <c r="S9" s="3" t="str">
        <f>'Raw Data'!O9</f>
        <v>No</v>
      </c>
      <c r="T9" s="3" t="str">
        <f>'Raw Data'!P9</f>
        <v>Kemi</v>
      </c>
      <c r="U9" s="3" t="str">
        <f t="shared" si="3"/>
        <v>July</v>
      </c>
      <c r="V9" s="11">
        <f t="shared" si="4"/>
        <v>0</v>
      </c>
    </row>
    <row r="10" spans="1:22" x14ac:dyDescent="0.25">
      <c r="A10" s="3">
        <f>'Raw Data'!A10</f>
        <v>100009</v>
      </c>
      <c r="B10" s="4">
        <f>'Raw Data'!B10</f>
        <v>46028</v>
      </c>
      <c r="C10" s="3" t="str">
        <f>'Raw Data'!C10</f>
        <v>IB-01</v>
      </c>
      <c r="D10" s="3" t="str">
        <f>PROPER(TRIM('Raw Data'!D10))</f>
        <v>Ibadan</v>
      </c>
      <c r="E10" s="3" t="str">
        <f>'Raw Data'!E10</f>
        <v>In-store</v>
      </c>
      <c r="F10" s="3" t="str">
        <f>IF(PROPER(TRIM('Raw Data'!F10))="Accessory","Accessories",PROPER(TRIM('Raw Data'!F10)))</f>
        <v>Home</v>
      </c>
      <c r="G10" s="3" t="str">
        <f>'Raw Data'!G10</f>
        <v>Blender</v>
      </c>
      <c r="H10" s="3" t="str">
        <f>'Raw Data'!H10</f>
        <v>C1111</v>
      </c>
      <c r="I10" s="3" t="str">
        <f>'Raw Data'!I10</f>
        <v>Returning</v>
      </c>
      <c r="J10" s="3">
        <f>'Raw Data'!J10</f>
        <v>3</v>
      </c>
      <c r="K10" s="5">
        <f>'Raw Data'!K10</f>
        <v>42000</v>
      </c>
      <c r="L10" s="6">
        <f>'Raw Data'!L10</f>
        <v>0.15</v>
      </c>
      <c r="M10" s="5">
        <f>'Raw Data'!M10</f>
        <v>107100</v>
      </c>
      <c r="N10" s="5">
        <f t="shared" si="0"/>
        <v>107100</v>
      </c>
      <c r="O10" s="5">
        <f>'Raw Data'!N10</f>
        <v>28000</v>
      </c>
      <c r="P10" s="5">
        <f>IF(ISBLANK('Raw Data'!N10),AVERAGEIFS('Raw Data'!$N$2:$N$433,'Raw Data'!$G$2:$G$433,G10),'Raw Data'!N10)</f>
        <v>28000</v>
      </c>
      <c r="Q10" s="5">
        <f t="shared" si="1"/>
        <v>84000</v>
      </c>
      <c r="R10" s="5">
        <f t="shared" si="2"/>
        <v>23100</v>
      </c>
      <c r="S10" s="3" t="str">
        <f>'Raw Data'!O10</f>
        <v>No</v>
      </c>
      <c r="T10" s="3" t="str">
        <f>'Raw Data'!P10</f>
        <v>Fatima</v>
      </c>
      <c r="U10" s="3" t="str">
        <f t="shared" si="3"/>
        <v>January</v>
      </c>
      <c r="V10" s="11">
        <f t="shared" si="4"/>
        <v>0</v>
      </c>
    </row>
    <row r="11" spans="1:22" x14ac:dyDescent="0.25">
      <c r="A11" s="3">
        <f>'Raw Data'!A11</f>
        <v>100010</v>
      </c>
      <c r="B11" s="4">
        <f>'Raw Data'!B11</f>
        <v>46248</v>
      </c>
      <c r="C11" s="3" t="str">
        <f>'Raw Data'!C11</f>
        <v>PH-01</v>
      </c>
      <c r="D11" s="3" t="str">
        <f>PROPER(TRIM('Raw Data'!D11))</f>
        <v>Port Harcourt</v>
      </c>
      <c r="E11" s="3" t="str">
        <f>'Raw Data'!E11</f>
        <v>In-store</v>
      </c>
      <c r="F11" s="3" t="str">
        <f>IF(PROPER(TRIM('Raw Data'!F11))="Accessory","Accessories",PROPER(TRIM('Raw Data'!F11)))</f>
        <v>Electronics</v>
      </c>
      <c r="G11" s="3" t="str">
        <f>'Raw Data'!G11</f>
        <v>Smartphone</v>
      </c>
      <c r="H11" s="3" t="str">
        <f>'Raw Data'!H11</f>
        <v>C1153</v>
      </c>
      <c r="I11" s="3" t="str">
        <f>'Raw Data'!I11</f>
        <v>Returning</v>
      </c>
      <c r="J11" s="3">
        <f>'Raw Data'!J11</f>
        <v>1</v>
      </c>
      <c r="K11" s="5">
        <f>'Raw Data'!K11</f>
        <v>165000</v>
      </c>
      <c r="L11" s="6">
        <f>'Raw Data'!L11</f>
        <v>0</v>
      </c>
      <c r="M11" s="5">
        <f>'Raw Data'!M11</f>
        <v>165000</v>
      </c>
      <c r="N11" s="5">
        <f t="shared" si="0"/>
        <v>165000</v>
      </c>
      <c r="O11" s="5">
        <f>'Raw Data'!N11</f>
        <v>112000</v>
      </c>
      <c r="P11" s="5">
        <f>IF(ISBLANK('Raw Data'!N11),AVERAGEIFS('Raw Data'!$N$2:$N$433,'Raw Data'!$G$2:$G$433,G11),'Raw Data'!N11)</f>
        <v>112000</v>
      </c>
      <c r="Q11" s="5">
        <f t="shared" si="1"/>
        <v>112000</v>
      </c>
      <c r="R11" s="5">
        <f t="shared" si="2"/>
        <v>53000</v>
      </c>
      <c r="S11" s="3" t="str">
        <f>'Raw Data'!O11</f>
        <v>No</v>
      </c>
      <c r="T11" s="3" t="str">
        <f>'Raw Data'!P11</f>
        <v>David</v>
      </c>
      <c r="U11" s="3" t="str">
        <f t="shared" si="3"/>
        <v>August</v>
      </c>
      <c r="V11" s="11">
        <f t="shared" si="4"/>
        <v>0</v>
      </c>
    </row>
    <row r="12" spans="1:22" x14ac:dyDescent="0.25">
      <c r="A12" s="3">
        <f>'Raw Data'!A12</f>
        <v>100011</v>
      </c>
      <c r="B12" s="4">
        <f>'Raw Data'!B12</f>
        <v>46200</v>
      </c>
      <c r="C12" s="3" t="str">
        <f>'Raw Data'!C12</f>
        <v>LG-01</v>
      </c>
      <c r="D12" s="3" t="str">
        <f>PROPER(TRIM('Raw Data'!D12))</f>
        <v>Lagos</v>
      </c>
      <c r="E12" s="3" t="str">
        <f>'Raw Data'!E12</f>
        <v>In-store</v>
      </c>
      <c r="F12" s="3" t="str">
        <f>IF(PROPER(TRIM('Raw Data'!F12))="Accessory","Accessories",PROPER(TRIM('Raw Data'!F12)))</f>
        <v>Electronics</v>
      </c>
      <c r="G12" s="3" t="str">
        <f>'Raw Data'!G12</f>
        <v>Earbuds</v>
      </c>
      <c r="H12" s="3" t="str">
        <f>'Raw Data'!H12</f>
        <v>C1059</v>
      </c>
      <c r="I12" s="3" t="str">
        <f>'Raw Data'!I12</f>
        <v>Returning</v>
      </c>
      <c r="J12" s="3">
        <f>'Raw Data'!J12</f>
        <v>1</v>
      </c>
      <c r="K12" s="5">
        <f>'Raw Data'!K12</f>
        <v>32000</v>
      </c>
      <c r="L12" s="6">
        <f>'Raw Data'!L12</f>
        <v>0</v>
      </c>
      <c r="M12" s="5">
        <f>'Raw Data'!M12</f>
        <v>32000</v>
      </c>
      <c r="N12" s="5">
        <f t="shared" si="0"/>
        <v>32000</v>
      </c>
      <c r="O12" s="5">
        <f>'Raw Data'!N12</f>
        <v>19000</v>
      </c>
      <c r="P12" s="5">
        <f>IF(ISBLANK('Raw Data'!N12),AVERAGEIFS('Raw Data'!$N$2:$N$433,'Raw Data'!$G$2:$G$433,G12),'Raw Data'!N12)</f>
        <v>19000</v>
      </c>
      <c r="Q12" s="5">
        <f t="shared" si="1"/>
        <v>19000</v>
      </c>
      <c r="R12" s="5">
        <f t="shared" si="2"/>
        <v>13000</v>
      </c>
      <c r="S12" s="3" t="str">
        <f>'Raw Data'!O12</f>
        <v>No</v>
      </c>
      <c r="T12" s="3" t="str">
        <f>'Raw Data'!P12</f>
        <v>David</v>
      </c>
      <c r="U12" s="3" t="str">
        <f t="shared" si="3"/>
        <v>June</v>
      </c>
      <c r="V12" s="11">
        <f t="shared" si="4"/>
        <v>0</v>
      </c>
    </row>
    <row r="13" spans="1:22" x14ac:dyDescent="0.25">
      <c r="A13" s="3">
        <f>'Raw Data'!A13</f>
        <v>100012</v>
      </c>
      <c r="B13" s="4">
        <f>'Raw Data'!B13</f>
        <v>46120</v>
      </c>
      <c r="C13" s="3" t="str">
        <f>'Raw Data'!C13</f>
        <v>KN-01</v>
      </c>
      <c r="D13" s="3" t="str">
        <f>PROPER(TRIM('Raw Data'!D13))</f>
        <v>Kano</v>
      </c>
      <c r="E13" s="3" t="str">
        <f>'Raw Data'!E13</f>
        <v>Online</v>
      </c>
      <c r="F13" s="3" t="str">
        <f>IF(PROPER(TRIM('Raw Data'!F13))="Accessory","Accessories",PROPER(TRIM('Raw Data'!F13)))</f>
        <v>Accessories</v>
      </c>
      <c r="G13" s="3" t="str">
        <f>'Raw Data'!G13</f>
        <v>Phone Case</v>
      </c>
      <c r="H13" s="3" t="str">
        <f>'Raw Data'!H13</f>
        <v>C1028</v>
      </c>
      <c r="I13" s="3" t="str">
        <f>'Raw Data'!I13</f>
        <v>New</v>
      </c>
      <c r="J13" s="3">
        <f>'Raw Data'!J13</f>
        <v>1</v>
      </c>
      <c r="K13" s="5">
        <f>'Raw Data'!K13</f>
        <v>9000</v>
      </c>
      <c r="L13" s="6">
        <f>'Raw Data'!L13</f>
        <v>0</v>
      </c>
      <c r="M13" s="5">
        <f>'Raw Data'!M13</f>
        <v>9000</v>
      </c>
      <c r="N13" s="5">
        <f t="shared" si="0"/>
        <v>9000</v>
      </c>
      <c r="O13" s="5">
        <f>'Raw Data'!N13</f>
        <v>3500</v>
      </c>
      <c r="P13" s="5">
        <f>IF(ISBLANK('Raw Data'!N13),AVERAGEIFS('Raw Data'!$N$2:$N$433,'Raw Data'!$G$2:$G$433,G13),'Raw Data'!N13)</f>
        <v>3500</v>
      </c>
      <c r="Q13" s="5">
        <f t="shared" si="1"/>
        <v>3500</v>
      </c>
      <c r="R13" s="5">
        <f t="shared" si="2"/>
        <v>5500</v>
      </c>
      <c r="S13" s="3" t="str">
        <f>'Raw Data'!O13</f>
        <v>No</v>
      </c>
      <c r="T13" s="3" t="str">
        <f>'Raw Data'!P13</f>
        <v>David</v>
      </c>
      <c r="U13" s="3" t="str">
        <f t="shared" si="3"/>
        <v>April</v>
      </c>
      <c r="V13" s="11">
        <f t="shared" si="4"/>
        <v>0</v>
      </c>
    </row>
    <row r="14" spans="1:22" x14ac:dyDescent="0.25">
      <c r="A14" s="3">
        <f>'Raw Data'!A14</f>
        <v>100013</v>
      </c>
      <c r="B14" s="4">
        <f>'Raw Data'!B14</f>
        <v>46153</v>
      </c>
      <c r="C14" s="3" t="str">
        <f>'Raw Data'!C14</f>
        <v>IB-01</v>
      </c>
      <c r="D14" s="3" t="str">
        <f>PROPER(TRIM('Raw Data'!D14))</f>
        <v>Ibadan</v>
      </c>
      <c r="E14" s="3" t="str">
        <f>'Raw Data'!E14</f>
        <v>In-store</v>
      </c>
      <c r="F14" s="3" t="str">
        <f>IF(PROPER(TRIM('Raw Data'!F14))="Accessory","Accessories",PROPER(TRIM('Raw Data'!F14)))</f>
        <v>Home</v>
      </c>
      <c r="G14" s="3" t="str">
        <f>'Raw Data'!G14</f>
        <v>Electric Kettle</v>
      </c>
      <c r="H14" s="3" t="str">
        <f>'Raw Data'!H14</f>
        <v>C1192</v>
      </c>
      <c r="I14" s="3" t="str">
        <f>'Raw Data'!I14</f>
        <v>New</v>
      </c>
      <c r="J14" s="3">
        <f>'Raw Data'!J14</f>
        <v>2</v>
      </c>
      <c r="K14" s="5">
        <f>'Raw Data'!K14</f>
        <v>24000</v>
      </c>
      <c r="L14" s="6">
        <f>'Raw Data'!L14</f>
        <v>0</v>
      </c>
      <c r="M14" s="5">
        <f>'Raw Data'!M14</f>
        <v>48000</v>
      </c>
      <c r="N14" s="5">
        <f t="shared" si="0"/>
        <v>48000</v>
      </c>
      <c r="O14" s="5">
        <f>'Raw Data'!N14</f>
        <v>15000</v>
      </c>
      <c r="P14" s="5">
        <f>IF(ISBLANK('Raw Data'!N14),AVERAGEIFS('Raw Data'!$N$2:$N$433,'Raw Data'!$G$2:$G$433,G14),'Raw Data'!N14)</f>
        <v>15000</v>
      </c>
      <c r="Q14" s="5">
        <f t="shared" si="1"/>
        <v>30000</v>
      </c>
      <c r="R14" s="5">
        <f t="shared" si="2"/>
        <v>18000</v>
      </c>
      <c r="S14" s="3" t="str">
        <f>'Raw Data'!O14</f>
        <v>No</v>
      </c>
      <c r="T14" s="3" t="str">
        <f>'Raw Data'!P14</f>
        <v>Ibrahim</v>
      </c>
      <c r="U14" s="3" t="str">
        <f t="shared" si="3"/>
        <v>May</v>
      </c>
      <c r="V14" s="11">
        <f t="shared" si="4"/>
        <v>0</v>
      </c>
    </row>
    <row r="15" spans="1:22" x14ac:dyDescent="0.25">
      <c r="A15" s="3">
        <f>'Raw Data'!A15</f>
        <v>100014</v>
      </c>
      <c r="B15" s="4">
        <f>'Raw Data'!B15</f>
        <v>46195</v>
      </c>
      <c r="C15" s="3" t="str">
        <f>'Raw Data'!C15</f>
        <v>AB-02</v>
      </c>
      <c r="D15" s="3" t="str">
        <f>PROPER(TRIM('Raw Data'!D15))</f>
        <v>Abuja</v>
      </c>
      <c r="E15" s="3" t="str">
        <f>'Raw Data'!E15</f>
        <v>WhatsApp</v>
      </c>
      <c r="F15" s="3" t="str">
        <f>IF(PROPER(TRIM('Raw Data'!F15))="Accessory","Accessories",PROPER(TRIM('Raw Data'!F15)))</f>
        <v>Accessories</v>
      </c>
      <c r="G15" s="3" t="str">
        <f>'Raw Data'!G15</f>
        <v>Backpack</v>
      </c>
      <c r="H15" s="3" t="str">
        <f>'Raw Data'!H15</f>
        <v>C1022</v>
      </c>
      <c r="I15" s="3" t="str">
        <f>'Raw Data'!I15</f>
        <v>Returning</v>
      </c>
      <c r="J15" s="3">
        <f>'Raw Data'!J15</f>
        <v>2</v>
      </c>
      <c r="K15" s="5">
        <f>'Raw Data'!K15</f>
        <v>28000</v>
      </c>
      <c r="L15" s="6">
        <f>'Raw Data'!L15</f>
        <v>0.25</v>
      </c>
      <c r="M15" s="5">
        <f>'Raw Data'!M15</f>
        <v>42000</v>
      </c>
      <c r="N15" s="5">
        <f t="shared" si="0"/>
        <v>42000</v>
      </c>
      <c r="O15" s="3">
        <f>'Raw Data'!N15</f>
        <v>0</v>
      </c>
      <c r="P15" s="5">
        <f>IF(ISBLANK('Raw Data'!N15),AVERAGEIFS('Raw Data'!$N$2:$N$433,'Raw Data'!$G$2:$G$433,G15),'Raw Data'!N15)</f>
        <v>16000</v>
      </c>
      <c r="Q15" s="5">
        <f t="shared" si="1"/>
        <v>32000</v>
      </c>
      <c r="R15" s="5">
        <f t="shared" si="2"/>
        <v>10000</v>
      </c>
      <c r="S15" s="3" t="str">
        <f>'Raw Data'!O15</f>
        <v>No</v>
      </c>
      <c r="T15" s="3" t="str">
        <f>'Raw Data'!P15</f>
        <v>Fatima</v>
      </c>
      <c r="U15" s="3" t="str">
        <f t="shared" si="3"/>
        <v>June</v>
      </c>
      <c r="V15" s="11">
        <f t="shared" si="4"/>
        <v>0</v>
      </c>
    </row>
    <row r="16" spans="1:22" x14ac:dyDescent="0.25">
      <c r="A16" s="3">
        <f>'Raw Data'!A16</f>
        <v>100015</v>
      </c>
      <c r="B16" s="4">
        <f>'Raw Data'!B16</f>
        <v>46031</v>
      </c>
      <c r="C16" s="3" t="str">
        <f>'Raw Data'!C16</f>
        <v>PH-01</v>
      </c>
      <c r="D16" s="3" t="str">
        <f>PROPER(TRIM('Raw Data'!D16))</f>
        <v>Port Harcourt</v>
      </c>
      <c r="E16" s="3" t="str">
        <f>'Raw Data'!E16</f>
        <v>In-store</v>
      </c>
      <c r="F16" s="3" t="str">
        <f>IF(PROPER(TRIM('Raw Data'!F16))="Accessory","Accessories",PROPER(TRIM('Raw Data'!F16)))</f>
        <v>Electronics</v>
      </c>
      <c r="G16" s="3" t="str">
        <f>'Raw Data'!G16</f>
        <v>Smartphone</v>
      </c>
      <c r="H16" s="3" t="str">
        <f>'Raw Data'!H16</f>
        <v>C1084</v>
      </c>
      <c r="I16" s="3" t="str">
        <f>'Raw Data'!I16</f>
        <v>New</v>
      </c>
      <c r="J16" s="3">
        <f>'Raw Data'!J16</f>
        <v>2</v>
      </c>
      <c r="K16" s="5">
        <f>'Raw Data'!K16</f>
        <v>165000</v>
      </c>
      <c r="L16" s="6">
        <f>'Raw Data'!L16</f>
        <v>0</v>
      </c>
      <c r="M16" s="5">
        <f>'Raw Data'!M16</f>
        <v>330000</v>
      </c>
      <c r="N16" s="5">
        <f t="shared" si="0"/>
        <v>330000</v>
      </c>
      <c r="O16" s="5">
        <f>'Raw Data'!N16</f>
        <v>112000</v>
      </c>
      <c r="P16" s="5">
        <f>IF(ISBLANK('Raw Data'!N16),AVERAGEIFS('Raw Data'!$N$2:$N$433,'Raw Data'!$G$2:$G$433,G16),'Raw Data'!N16)</f>
        <v>112000</v>
      </c>
      <c r="Q16" s="5">
        <f t="shared" si="1"/>
        <v>224000</v>
      </c>
      <c r="R16" s="5">
        <f t="shared" si="2"/>
        <v>106000</v>
      </c>
      <c r="S16" s="3" t="str">
        <f>'Raw Data'!O16</f>
        <v>No</v>
      </c>
      <c r="T16" s="3" t="str">
        <f>'Raw Data'!P16</f>
        <v>Grace</v>
      </c>
      <c r="U16" s="3" t="str">
        <f t="shared" si="3"/>
        <v>January</v>
      </c>
      <c r="V16" s="11">
        <f t="shared" si="4"/>
        <v>0</v>
      </c>
    </row>
    <row r="17" spans="1:22" x14ac:dyDescent="0.25">
      <c r="A17" s="3">
        <f>'Raw Data'!A17</f>
        <v>100016</v>
      </c>
      <c r="B17" s="4">
        <f>'Raw Data'!B17</f>
        <v>46228</v>
      </c>
      <c r="C17" s="3" t="str">
        <f>'Raw Data'!C17</f>
        <v>LG-02</v>
      </c>
      <c r="D17" s="3" t="str">
        <f>PROPER(TRIM('Raw Data'!D17))</f>
        <v>Lagos</v>
      </c>
      <c r="E17" s="3" t="str">
        <f>'Raw Data'!E17</f>
        <v>Online</v>
      </c>
      <c r="F17" s="3" t="str">
        <f>IF(PROPER(TRIM('Raw Data'!F17))="Accessory","Accessories",PROPER(TRIM('Raw Data'!F17)))</f>
        <v>Accessories</v>
      </c>
      <c r="G17" s="3" t="str">
        <f>'Raw Data'!G17</f>
        <v>USB Cable</v>
      </c>
      <c r="H17" s="3" t="str">
        <f>'Raw Data'!H17</f>
        <v>C1123</v>
      </c>
      <c r="I17" s="3" t="str">
        <f>'Raw Data'!I17</f>
        <v>New</v>
      </c>
      <c r="J17" s="3">
        <f>'Raw Data'!J17</f>
        <v>1</v>
      </c>
      <c r="K17" s="5">
        <f>'Raw Data'!K17</f>
        <v>6500</v>
      </c>
      <c r="L17" s="6">
        <f>'Raw Data'!L17</f>
        <v>0.1</v>
      </c>
      <c r="M17" s="5">
        <f>'Raw Data'!M17</f>
        <v>4680</v>
      </c>
      <c r="N17" s="5">
        <f t="shared" si="0"/>
        <v>5850</v>
      </c>
      <c r="O17" s="5">
        <f>'Raw Data'!N17</f>
        <v>2200</v>
      </c>
      <c r="P17" s="5">
        <f>IF(ISBLANK('Raw Data'!N17),AVERAGEIFS('Raw Data'!$N$2:$N$433,'Raw Data'!$G$2:$G$433,G17),'Raw Data'!N17)</f>
        <v>2200</v>
      </c>
      <c r="Q17" s="5">
        <f t="shared" si="1"/>
        <v>2200</v>
      </c>
      <c r="R17" s="5">
        <f t="shared" si="2"/>
        <v>3650</v>
      </c>
      <c r="S17" s="3" t="str">
        <f>'Raw Data'!O17</f>
        <v>No</v>
      </c>
      <c r="T17" s="3" t="str">
        <f>'Raw Data'!P17</f>
        <v>Kemi</v>
      </c>
      <c r="U17" s="3" t="str">
        <f t="shared" si="3"/>
        <v>July</v>
      </c>
      <c r="V17" s="11">
        <f t="shared" si="4"/>
        <v>0</v>
      </c>
    </row>
    <row r="18" spans="1:22" x14ac:dyDescent="0.25">
      <c r="A18" s="3">
        <f>'Raw Data'!A18</f>
        <v>100017</v>
      </c>
      <c r="B18" s="4">
        <f>'Raw Data'!B18</f>
        <v>46032</v>
      </c>
      <c r="C18" s="3" t="str">
        <f>'Raw Data'!C18</f>
        <v>KN-01</v>
      </c>
      <c r="D18" s="3" t="str">
        <f>PROPER(TRIM('Raw Data'!D18))</f>
        <v>Kano</v>
      </c>
      <c r="E18" s="3" t="str">
        <f>'Raw Data'!E18</f>
        <v>WhatsApp</v>
      </c>
      <c r="F18" s="3" t="str">
        <f>IF(PROPER(TRIM('Raw Data'!F18))="Accessory","Accessories",PROPER(TRIM('Raw Data'!F18)))</f>
        <v>Home</v>
      </c>
      <c r="G18" s="3" t="str">
        <f>'Raw Data'!G18</f>
        <v>Blender</v>
      </c>
      <c r="H18" s="3" t="str">
        <f>'Raw Data'!H18</f>
        <v>C1134</v>
      </c>
      <c r="I18" s="3" t="str">
        <f>'Raw Data'!I18</f>
        <v>New</v>
      </c>
      <c r="J18" s="3">
        <f>'Raw Data'!J18</f>
        <v>2</v>
      </c>
      <c r="K18" s="5">
        <f>'Raw Data'!K18</f>
        <v>42000</v>
      </c>
      <c r="L18" s="6">
        <f>'Raw Data'!L18</f>
        <v>0</v>
      </c>
      <c r="M18" s="5">
        <f>'Raw Data'!M18</f>
        <v>84000</v>
      </c>
      <c r="N18" s="5">
        <f t="shared" si="0"/>
        <v>84000</v>
      </c>
      <c r="O18" s="5">
        <f>'Raw Data'!N18</f>
        <v>28000</v>
      </c>
      <c r="P18" s="5">
        <f>IF(ISBLANK('Raw Data'!N18),AVERAGEIFS('Raw Data'!$N$2:$N$433,'Raw Data'!$G$2:$G$433,G18),'Raw Data'!N18)</f>
        <v>28000</v>
      </c>
      <c r="Q18" s="5">
        <f t="shared" si="1"/>
        <v>56000</v>
      </c>
      <c r="R18" s="5">
        <f t="shared" si="2"/>
        <v>28000</v>
      </c>
      <c r="S18" s="3" t="str">
        <f>'Raw Data'!O18</f>
        <v>No</v>
      </c>
      <c r="T18" s="3" t="str">
        <f>'Raw Data'!P18</f>
        <v>Ibrahim</v>
      </c>
      <c r="U18" s="3" t="str">
        <f t="shared" si="3"/>
        <v>January</v>
      </c>
      <c r="V18" s="11">
        <f t="shared" si="4"/>
        <v>0</v>
      </c>
    </row>
    <row r="19" spans="1:22" x14ac:dyDescent="0.25">
      <c r="A19" s="3">
        <f>'Raw Data'!A19</f>
        <v>100018</v>
      </c>
      <c r="B19" s="4">
        <f>'Raw Data'!B19</f>
        <v>46141</v>
      </c>
      <c r="C19" s="3" t="str">
        <f>'Raw Data'!C19</f>
        <v>PH-01</v>
      </c>
      <c r="D19" s="3" t="str">
        <f>PROPER(TRIM('Raw Data'!D19))</f>
        <v>Port Harcourt</v>
      </c>
      <c r="E19" s="3" t="str">
        <f>'Raw Data'!E19</f>
        <v>In-store</v>
      </c>
      <c r="F19" s="3" t="str">
        <f>IF(PROPER(TRIM('Raw Data'!F19))="Accessory","Accessories",PROPER(TRIM('Raw Data'!F19)))</f>
        <v>Accessories</v>
      </c>
      <c r="G19" s="3" t="str">
        <f>'Raw Data'!G19</f>
        <v>USB Cable</v>
      </c>
      <c r="H19" s="3" t="str">
        <f>'Raw Data'!H19</f>
        <v>C1100</v>
      </c>
      <c r="I19" s="3" t="str">
        <f>'Raw Data'!I19</f>
        <v>Returning</v>
      </c>
      <c r="J19" s="3">
        <f>'Raw Data'!J19</f>
        <v>22</v>
      </c>
      <c r="K19" s="5">
        <f>'Raw Data'!K19</f>
        <v>6500</v>
      </c>
      <c r="L19" s="6">
        <f>'Raw Data'!L19</f>
        <v>0.15</v>
      </c>
      <c r="M19" s="5">
        <f>'Raw Data'!M19</f>
        <v>121550</v>
      </c>
      <c r="N19" s="5">
        <f t="shared" si="0"/>
        <v>121550</v>
      </c>
      <c r="O19" s="5">
        <f>'Raw Data'!N19</f>
        <v>2200</v>
      </c>
      <c r="P19" s="5">
        <f>IF(ISBLANK('Raw Data'!N19),AVERAGEIFS('Raw Data'!$N$2:$N$433,'Raw Data'!$G$2:$G$433,G19),'Raw Data'!N19)</f>
        <v>2200</v>
      </c>
      <c r="Q19" s="5">
        <f t="shared" si="1"/>
        <v>48400</v>
      </c>
      <c r="R19" s="5">
        <f t="shared" si="2"/>
        <v>73150</v>
      </c>
      <c r="S19" s="3" t="str">
        <f>'Raw Data'!O19</f>
        <v>No</v>
      </c>
      <c r="T19" s="3" t="str">
        <f>'Raw Data'!P19</f>
        <v>Kemi</v>
      </c>
      <c r="U19" s="3" t="str">
        <f t="shared" si="3"/>
        <v>April</v>
      </c>
      <c r="V19" s="11">
        <f t="shared" si="4"/>
        <v>0</v>
      </c>
    </row>
    <row r="20" spans="1:22" x14ac:dyDescent="0.25">
      <c r="A20" s="3">
        <f>'Raw Data'!A20</f>
        <v>100019</v>
      </c>
      <c r="B20" s="4">
        <f>'Raw Data'!B20</f>
        <v>46148</v>
      </c>
      <c r="C20" s="3" t="str">
        <f>'Raw Data'!C20</f>
        <v>LG-01</v>
      </c>
      <c r="D20" s="3" t="str">
        <f>PROPER(TRIM('Raw Data'!D20))</f>
        <v>Lagos</v>
      </c>
      <c r="E20" s="3" t="str">
        <f>'Raw Data'!E20</f>
        <v>In-store</v>
      </c>
      <c r="F20" s="3" t="str">
        <f>IF(PROPER(TRIM('Raw Data'!F20))="Accessory","Accessories",PROPER(TRIM('Raw Data'!F20)))</f>
        <v>Electronics</v>
      </c>
      <c r="G20" s="3" t="str">
        <f>'Raw Data'!G20</f>
        <v>Power Bank</v>
      </c>
      <c r="H20" s="3" t="str">
        <f>'Raw Data'!H20</f>
        <v>C1189</v>
      </c>
      <c r="I20" s="3" t="str">
        <f>'Raw Data'!I20</f>
        <v>Returning</v>
      </c>
      <c r="J20" s="3">
        <f>'Raw Data'!J20</f>
        <v>1</v>
      </c>
      <c r="K20" s="5">
        <f>'Raw Data'!K20</f>
        <v>26000</v>
      </c>
      <c r="L20" s="6">
        <f>'Raw Data'!L20</f>
        <v>0.15</v>
      </c>
      <c r="M20" s="5">
        <f>'Raw Data'!M20</f>
        <v>22100</v>
      </c>
      <c r="N20" s="5">
        <f t="shared" si="0"/>
        <v>22100</v>
      </c>
      <c r="O20" s="5">
        <f>'Raw Data'!N20</f>
        <v>15000</v>
      </c>
      <c r="P20" s="5">
        <f>IF(ISBLANK('Raw Data'!N20),AVERAGEIFS('Raw Data'!$N$2:$N$433,'Raw Data'!$G$2:$G$433,G20),'Raw Data'!N20)</f>
        <v>15000</v>
      </c>
      <c r="Q20" s="5">
        <f t="shared" si="1"/>
        <v>15000</v>
      </c>
      <c r="R20" s="5">
        <f t="shared" si="2"/>
        <v>7100</v>
      </c>
      <c r="S20" s="3" t="str">
        <f>'Raw Data'!O20</f>
        <v>No</v>
      </c>
      <c r="T20" s="3" t="str">
        <f>'Raw Data'!P20</f>
        <v>Bola</v>
      </c>
      <c r="U20" s="3" t="str">
        <f t="shared" si="3"/>
        <v>May</v>
      </c>
      <c r="V20" s="11">
        <f t="shared" si="4"/>
        <v>0</v>
      </c>
    </row>
    <row r="21" spans="1:22" x14ac:dyDescent="0.25">
      <c r="A21" s="3">
        <f>'Raw Data'!A21</f>
        <v>100020</v>
      </c>
      <c r="B21" s="4">
        <f>'Raw Data'!B21</f>
        <v>46131</v>
      </c>
      <c r="C21" s="3" t="str">
        <f>'Raw Data'!C21</f>
        <v>AB-02</v>
      </c>
      <c r="D21" s="3" t="str">
        <f>PROPER(TRIM('Raw Data'!D21))</f>
        <v>Abuja</v>
      </c>
      <c r="E21" s="3" t="str">
        <f>'Raw Data'!E21</f>
        <v>In-store</v>
      </c>
      <c r="F21" s="3" t="str">
        <f>IF(PROPER(TRIM('Raw Data'!F21))="Accessory","Accessories",PROPER(TRIM('Raw Data'!F21)))</f>
        <v>Electronics</v>
      </c>
      <c r="G21" s="3" t="str">
        <f>'Raw Data'!G21</f>
        <v>Power Bank</v>
      </c>
      <c r="H21" s="3" t="str">
        <f>'Raw Data'!H21</f>
        <v>C1050</v>
      </c>
      <c r="I21" s="3" t="str">
        <f>'Raw Data'!I21</f>
        <v>Returning</v>
      </c>
      <c r="J21" s="3">
        <f>'Raw Data'!J21</f>
        <v>1</v>
      </c>
      <c r="K21" s="5">
        <f>'Raw Data'!K21</f>
        <v>26000</v>
      </c>
      <c r="L21" s="6">
        <f>'Raw Data'!L21</f>
        <v>0.25</v>
      </c>
      <c r="M21" s="5">
        <f>'Raw Data'!M21</f>
        <v>19500</v>
      </c>
      <c r="N21" s="5">
        <f t="shared" si="0"/>
        <v>19500</v>
      </c>
      <c r="O21" s="3">
        <f>'Raw Data'!N21</f>
        <v>0</v>
      </c>
      <c r="P21" s="5">
        <f>IF(ISBLANK('Raw Data'!N21),AVERAGEIFS('Raw Data'!$N$2:$N$433,'Raw Data'!$G$2:$G$433,G21),'Raw Data'!N21)</f>
        <v>15000</v>
      </c>
      <c r="Q21" s="5">
        <f t="shared" si="1"/>
        <v>15000</v>
      </c>
      <c r="R21" s="5">
        <f t="shared" si="2"/>
        <v>4500</v>
      </c>
      <c r="S21" s="3" t="str">
        <f>'Raw Data'!O21</f>
        <v>No</v>
      </c>
      <c r="T21" s="3" t="str">
        <f>'Raw Data'!P21</f>
        <v>Ibrahim</v>
      </c>
      <c r="U21" s="3" t="str">
        <f t="shared" si="3"/>
        <v>April</v>
      </c>
      <c r="V21" s="11">
        <f t="shared" si="4"/>
        <v>0</v>
      </c>
    </row>
    <row r="22" spans="1:22" x14ac:dyDescent="0.25">
      <c r="A22" s="3">
        <f>'Raw Data'!A22</f>
        <v>100021</v>
      </c>
      <c r="B22" s="4">
        <f>'Raw Data'!B22</f>
        <v>46148</v>
      </c>
      <c r="C22" s="3" t="str">
        <f>'Raw Data'!C22</f>
        <v>AB-02</v>
      </c>
      <c r="D22" s="3" t="str">
        <f>PROPER(TRIM('Raw Data'!D22))</f>
        <v>Abuja</v>
      </c>
      <c r="E22" s="3" t="str">
        <f>'Raw Data'!E22</f>
        <v>WhatsApp</v>
      </c>
      <c r="F22" s="3" t="str">
        <f>IF(PROPER(TRIM('Raw Data'!F22))="Accessory","Accessories",PROPER(TRIM('Raw Data'!F22)))</f>
        <v>Electronics</v>
      </c>
      <c r="G22" s="3" t="str">
        <f>'Raw Data'!G22</f>
        <v>Power Bank</v>
      </c>
      <c r="H22" s="3" t="str">
        <f>'Raw Data'!H22</f>
        <v>C1184</v>
      </c>
      <c r="I22" s="3" t="str">
        <f>'Raw Data'!I22</f>
        <v>New</v>
      </c>
      <c r="J22" s="3">
        <f>'Raw Data'!J22</f>
        <v>1</v>
      </c>
      <c r="K22" s="5">
        <f>'Raw Data'!K22</f>
        <v>26000</v>
      </c>
      <c r="L22" s="6">
        <f>'Raw Data'!L22</f>
        <v>0</v>
      </c>
      <c r="M22" s="5">
        <f>'Raw Data'!M22</f>
        <v>26000</v>
      </c>
      <c r="N22" s="5">
        <f t="shared" si="0"/>
        <v>26000</v>
      </c>
      <c r="O22" s="5">
        <f>'Raw Data'!N22</f>
        <v>15000</v>
      </c>
      <c r="P22" s="5">
        <f>IF(ISBLANK('Raw Data'!N22),AVERAGEIFS('Raw Data'!$N$2:$N$433,'Raw Data'!$G$2:$G$433,G22),'Raw Data'!N22)</f>
        <v>15000</v>
      </c>
      <c r="Q22" s="5">
        <f t="shared" si="1"/>
        <v>15000</v>
      </c>
      <c r="R22" s="5">
        <f t="shared" si="2"/>
        <v>11000</v>
      </c>
      <c r="S22" s="3" t="str">
        <f>'Raw Data'!O22</f>
        <v>No</v>
      </c>
      <c r="T22" s="3" t="str">
        <f>'Raw Data'!P22</f>
        <v>Kemi</v>
      </c>
      <c r="U22" s="3" t="str">
        <f t="shared" si="3"/>
        <v>May</v>
      </c>
      <c r="V22" s="11">
        <f t="shared" si="4"/>
        <v>0</v>
      </c>
    </row>
    <row r="23" spans="1:22" x14ac:dyDescent="0.25">
      <c r="A23" s="3">
        <f>'Raw Data'!A23</f>
        <v>100022</v>
      </c>
      <c r="B23" s="4">
        <f>'Raw Data'!B23</f>
        <v>46033</v>
      </c>
      <c r="C23" s="3" t="str">
        <f>'Raw Data'!C23</f>
        <v>IB-01</v>
      </c>
      <c r="D23" s="3" t="str">
        <f>PROPER(TRIM('Raw Data'!D23))</f>
        <v>Ibadan</v>
      </c>
      <c r="E23" s="3" t="str">
        <f>'Raw Data'!E23</f>
        <v>WhatsApp</v>
      </c>
      <c r="F23" s="3" t="str">
        <f>IF(PROPER(TRIM('Raw Data'!F23))="Accessory","Accessories",PROPER(TRIM('Raw Data'!F23)))</f>
        <v>Accessories</v>
      </c>
      <c r="G23" s="3" t="str">
        <f>'Raw Data'!G23</f>
        <v>Backpack</v>
      </c>
      <c r="H23" s="3" t="str">
        <f>'Raw Data'!H23</f>
        <v>C1022</v>
      </c>
      <c r="I23" s="3" t="str">
        <f>'Raw Data'!I23</f>
        <v>New</v>
      </c>
      <c r="J23" s="3">
        <f>'Raw Data'!J23</f>
        <v>1</v>
      </c>
      <c r="K23" s="5">
        <f>'Raw Data'!K23</f>
        <v>28000</v>
      </c>
      <c r="L23" s="6">
        <f>'Raw Data'!L23</f>
        <v>0.05</v>
      </c>
      <c r="M23" s="5">
        <f>'Raw Data'!M23</f>
        <v>26600</v>
      </c>
      <c r="N23" s="5">
        <f t="shared" si="0"/>
        <v>26600</v>
      </c>
      <c r="O23" s="5">
        <f>'Raw Data'!N23</f>
        <v>16000</v>
      </c>
      <c r="P23" s="5">
        <f>IF(ISBLANK('Raw Data'!N23),AVERAGEIFS('Raw Data'!$N$2:$N$433,'Raw Data'!$G$2:$G$433,G23),'Raw Data'!N23)</f>
        <v>16000</v>
      </c>
      <c r="Q23" s="5">
        <f t="shared" si="1"/>
        <v>16000</v>
      </c>
      <c r="R23" s="5">
        <f t="shared" si="2"/>
        <v>10600</v>
      </c>
      <c r="S23" s="3" t="str">
        <f>'Raw Data'!O23</f>
        <v>No</v>
      </c>
      <c r="T23" s="3" t="str">
        <f>'Raw Data'!P23</f>
        <v>Bola</v>
      </c>
      <c r="U23" s="3" t="str">
        <f t="shared" si="3"/>
        <v>January</v>
      </c>
      <c r="V23" s="11">
        <f t="shared" si="4"/>
        <v>0</v>
      </c>
    </row>
    <row r="24" spans="1:22" x14ac:dyDescent="0.25">
      <c r="A24" s="3">
        <f>'Raw Data'!A24</f>
        <v>100023</v>
      </c>
      <c r="B24" s="4">
        <f>'Raw Data'!B24</f>
        <v>46052</v>
      </c>
      <c r="C24" s="3" t="str">
        <f>'Raw Data'!C24</f>
        <v>AB-01</v>
      </c>
      <c r="D24" s="3" t="str">
        <f>PROPER(TRIM('Raw Data'!D24))</f>
        <v>Abuja</v>
      </c>
      <c r="E24" s="3" t="str">
        <f>'Raw Data'!E24</f>
        <v>Online</v>
      </c>
      <c r="F24" s="3" t="str">
        <f>IF(PROPER(TRIM('Raw Data'!F24))="Accessory","Accessories",PROPER(TRIM('Raw Data'!F24)))</f>
        <v>Electronics</v>
      </c>
      <c r="G24" s="3" t="str">
        <f>'Raw Data'!G24</f>
        <v>Earbuds</v>
      </c>
      <c r="H24" s="3" t="str">
        <f>'Raw Data'!H24</f>
        <v>C1004</v>
      </c>
      <c r="I24" s="3" t="str">
        <f>'Raw Data'!I24</f>
        <v>Returning</v>
      </c>
      <c r="J24" s="3">
        <f>'Raw Data'!J24</f>
        <v>1</v>
      </c>
      <c r="K24" s="5">
        <f>'Raw Data'!K24</f>
        <v>32000</v>
      </c>
      <c r="L24" s="6">
        <f>'Raw Data'!L24</f>
        <v>0.15</v>
      </c>
      <c r="M24" s="5">
        <f>'Raw Data'!M24</f>
        <v>27200</v>
      </c>
      <c r="N24" s="5">
        <f t="shared" si="0"/>
        <v>27200</v>
      </c>
      <c r="O24" s="5">
        <f>'Raw Data'!N24</f>
        <v>19000</v>
      </c>
      <c r="P24" s="5">
        <f>IF(ISBLANK('Raw Data'!N24),AVERAGEIFS('Raw Data'!$N$2:$N$433,'Raw Data'!$G$2:$G$433,G24),'Raw Data'!N24)</f>
        <v>19000</v>
      </c>
      <c r="Q24" s="5">
        <f t="shared" si="1"/>
        <v>19000</v>
      </c>
      <c r="R24" s="5">
        <f t="shared" si="2"/>
        <v>8200</v>
      </c>
      <c r="S24" s="3" t="str">
        <f>'Raw Data'!O24</f>
        <v>No</v>
      </c>
      <c r="T24" s="3" t="str">
        <f>'Raw Data'!P24</f>
        <v>David</v>
      </c>
      <c r="U24" s="3" t="str">
        <f t="shared" si="3"/>
        <v>January</v>
      </c>
      <c r="V24" s="11">
        <f t="shared" si="4"/>
        <v>0</v>
      </c>
    </row>
    <row r="25" spans="1:22" x14ac:dyDescent="0.25">
      <c r="A25" s="3">
        <f>'Raw Data'!A25</f>
        <v>100024</v>
      </c>
      <c r="B25" s="4">
        <f>'Raw Data'!B25</f>
        <v>46150</v>
      </c>
      <c r="C25" s="3" t="str">
        <f>'Raw Data'!C25</f>
        <v>AB-01</v>
      </c>
      <c r="D25" s="3" t="str">
        <f>PROPER(TRIM('Raw Data'!D25))</f>
        <v>Abuja</v>
      </c>
      <c r="E25" s="3" t="str">
        <f>'Raw Data'!E25</f>
        <v>In-store</v>
      </c>
      <c r="F25" s="3" t="str">
        <f>IF(PROPER(TRIM('Raw Data'!F25))="Accessory","Accessories",PROPER(TRIM('Raw Data'!F25)))</f>
        <v>Home</v>
      </c>
      <c r="G25" s="3" t="str">
        <f>'Raw Data'!G25</f>
        <v>Standing Fan</v>
      </c>
      <c r="H25" s="3" t="str">
        <f>'Raw Data'!H25</f>
        <v>C1034</v>
      </c>
      <c r="I25" s="3" t="str">
        <f>'Raw Data'!I25</f>
        <v>New</v>
      </c>
      <c r="J25" s="3">
        <f>'Raw Data'!J25</f>
        <v>2</v>
      </c>
      <c r="K25" s="5">
        <f>'Raw Data'!K25</f>
        <v>58000</v>
      </c>
      <c r="L25" s="6">
        <f>'Raw Data'!L25</f>
        <v>0.2</v>
      </c>
      <c r="M25" s="5">
        <f>'Raw Data'!M25</f>
        <v>92800</v>
      </c>
      <c r="N25" s="5">
        <f t="shared" si="0"/>
        <v>92800</v>
      </c>
      <c r="O25" s="3">
        <f>'Raw Data'!N25</f>
        <v>0</v>
      </c>
      <c r="P25" s="5">
        <f>IF(ISBLANK('Raw Data'!N25),AVERAGEIFS('Raw Data'!$N$2:$N$433,'Raw Data'!$G$2:$G$433,G25),'Raw Data'!N25)</f>
        <v>39000</v>
      </c>
      <c r="Q25" s="5">
        <f t="shared" si="1"/>
        <v>78000</v>
      </c>
      <c r="R25" s="5">
        <f t="shared" si="2"/>
        <v>14800</v>
      </c>
      <c r="S25" s="3" t="str">
        <f>'Raw Data'!O25</f>
        <v>Yes</v>
      </c>
      <c r="T25" s="3" t="str">
        <f>'Raw Data'!P25</f>
        <v>Grace</v>
      </c>
      <c r="U25" s="3" t="str">
        <f t="shared" si="3"/>
        <v>May</v>
      </c>
      <c r="V25" s="11">
        <f t="shared" si="4"/>
        <v>1</v>
      </c>
    </row>
    <row r="26" spans="1:22" x14ac:dyDescent="0.25">
      <c r="A26" s="3">
        <f>'Raw Data'!A26</f>
        <v>100025</v>
      </c>
      <c r="B26" s="4">
        <f>'Raw Data'!B26</f>
        <v>46027</v>
      </c>
      <c r="C26" s="3" t="str">
        <f>'Raw Data'!C26</f>
        <v>KN-01</v>
      </c>
      <c r="D26" s="3" t="str">
        <f>PROPER(TRIM('Raw Data'!D26))</f>
        <v>Kano</v>
      </c>
      <c r="E26" s="3" t="str">
        <f>'Raw Data'!E26</f>
        <v>In-store</v>
      </c>
      <c r="F26" s="3" t="str">
        <f>IF(PROPER(TRIM('Raw Data'!F26))="Accessory","Accessories",PROPER(TRIM('Raw Data'!F26)))</f>
        <v>Home</v>
      </c>
      <c r="G26" s="3" t="str">
        <f>'Raw Data'!G26</f>
        <v>Standing Fan</v>
      </c>
      <c r="H26" s="3" t="str">
        <f>'Raw Data'!H26</f>
        <v>C1164</v>
      </c>
      <c r="I26" s="3" t="str">
        <f>'Raw Data'!I26</f>
        <v>Returning</v>
      </c>
      <c r="J26" s="3">
        <f>'Raw Data'!J26</f>
        <v>5</v>
      </c>
      <c r="K26" s="5">
        <f>'Raw Data'!K26</f>
        <v>58000</v>
      </c>
      <c r="L26" s="6">
        <f>'Raw Data'!L26</f>
        <v>0.05</v>
      </c>
      <c r="M26" s="5">
        <f>'Raw Data'!M26</f>
        <v>275500</v>
      </c>
      <c r="N26" s="5">
        <f t="shared" si="0"/>
        <v>275500</v>
      </c>
      <c r="O26" s="5">
        <f>'Raw Data'!N26</f>
        <v>39000</v>
      </c>
      <c r="P26" s="5">
        <f>IF(ISBLANK('Raw Data'!N26),AVERAGEIFS('Raw Data'!$N$2:$N$433,'Raw Data'!$G$2:$G$433,G26),'Raw Data'!N26)</f>
        <v>39000</v>
      </c>
      <c r="Q26" s="5">
        <f t="shared" si="1"/>
        <v>195000</v>
      </c>
      <c r="R26" s="5">
        <f t="shared" si="2"/>
        <v>80500</v>
      </c>
      <c r="S26" s="3" t="str">
        <f>'Raw Data'!O26</f>
        <v>No</v>
      </c>
      <c r="T26" s="3" t="str">
        <f>'Raw Data'!P26</f>
        <v>David</v>
      </c>
      <c r="U26" s="3" t="str">
        <f t="shared" si="3"/>
        <v>January</v>
      </c>
      <c r="V26" s="11">
        <f t="shared" si="4"/>
        <v>0</v>
      </c>
    </row>
    <row r="27" spans="1:22" x14ac:dyDescent="0.25">
      <c r="A27" s="3">
        <f>'Raw Data'!A27</f>
        <v>100026</v>
      </c>
      <c r="B27" s="4">
        <f>'Raw Data'!B27</f>
        <v>46203</v>
      </c>
      <c r="C27" s="3" t="str">
        <f>'Raw Data'!C27</f>
        <v>IB-01</v>
      </c>
      <c r="D27" s="3" t="str">
        <f>PROPER(TRIM('Raw Data'!D27))</f>
        <v>Ibadan</v>
      </c>
      <c r="E27" s="3" t="str">
        <f>'Raw Data'!E27</f>
        <v>In-store</v>
      </c>
      <c r="F27" s="3" t="str">
        <f>IF(PROPER(TRIM('Raw Data'!F27))="Accessory","Accessories",PROPER(TRIM('Raw Data'!F27)))</f>
        <v>Accessories</v>
      </c>
      <c r="G27" s="3" t="str">
        <f>'Raw Data'!G27</f>
        <v>Phone Case</v>
      </c>
      <c r="H27" s="3" t="str">
        <f>'Raw Data'!H27</f>
        <v>C1155</v>
      </c>
      <c r="I27" s="3" t="str">
        <f>'Raw Data'!I27</f>
        <v>Returning</v>
      </c>
      <c r="J27" s="3">
        <f>'Raw Data'!J27</f>
        <v>2</v>
      </c>
      <c r="K27" s="5">
        <f>'Raw Data'!K27</f>
        <v>9000</v>
      </c>
      <c r="L27" s="6">
        <f>'Raw Data'!L27</f>
        <v>0.1</v>
      </c>
      <c r="M27" s="5">
        <f>'Raw Data'!M27</f>
        <v>16200</v>
      </c>
      <c r="N27" s="5">
        <f t="shared" si="0"/>
        <v>16200</v>
      </c>
      <c r="O27" s="3">
        <f>'Raw Data'!N27</f>
        <v>0</v>
      </c>
      <c r="P27" s="5">
        <f>IF(ISBLANK('Raw Data'!N27),AVERAGEIFS('Raw Data'!$N$2:$N$433,'Raw Data'!$G$2:$G$433,G27),'Raw Data'!N27)</f>
        <v>3500</v>
      </c>
      <c r="Q27" s="5">
        <f t="shared" si="1"/>
        <v>7000</v>
      </c>
      <c r="R27" s="5">
        <f t="shared" si="2"/>
        <v>9200</v>
      </c>
      <c r="S27" s="3" t="str">
        <f>'Raw Data'!O27</f>
        <v>No</v>
      </c>
      <c r="T27" s="3" t="str">
        <f>'Raw Data'!P27</f>
        <v>Chinedu</v>
      </c>
      <c r="U27" s="3" t="str">
        <f t="shared" si="3"/>
        <v>June</v>
      </c>
      <c r="V27" s="11">
        <f t="shared" si="4"/>
        <v>0</v>
      </c>
    </row>
    <row r="28" spans="1:22" x14ac:dyDescent="0.25">
      <c r="A28" s="3">
        <f>'Raw Data'!A28</f>
        <v>100027</v>
      </c>
      <c r="B28" s="4">
        <f>'Raw Data'!B28</f>
        <v>46142</v>
      </c>
      <c r="C28" s="3" t="str">
        <f>'Raw Data'!C28</f>
        <v>KN-01</v>
      </c>
      <c r="D28" s="3" t="str">
        <f>PROPER(TRIM('Raw Data'!D28))</f>
        <v>Kano</v>
      </c>
      <c r="E28" s="3" t="str">
        <f>'Raw Data'!E28</f>
        <v>WhatsApp</v>
      </c>
      <c r="F28" s="3" t="str">
        <f>IF(PROPER(TRIM('Raw Data'!F28))="Accessory","Accessories",PROPER(TRIM('Raw Data'!F28)))</f>
        <v>Home</v>
      </c>
      <c r="G28" s="3" t="str">
        <f>'Raw Data'!G28</f>
        <v>Standing Fan</v>
      </c>
      <c r="H28" s="3" t="str">
        <f>'Raw Data'!H28</f>
        <v>C1073</v>
      </c>
      <c r="I28" s="3" t="str">
        <f>'Raw Data'!I28</f>
        <v>New</v>
      </c>
      <c r="J28" s="3">
        <f>'Raw Data'!J28</f>
        <v>4</v>
      </c>
      <c r="K28" s="5">
        <f>'Raw Data'!K28</f>
        <v>58000</v>
      </c>
      <c r="L28" s="6">
        <f>'Raw Data'!L28</f>
        <v>0.05</v>
      </c>
      <c r="M28" s="5">
        <f>'Raw Data'!M28</f>
        <v>220400</v>
      </c>
      <c r="N28" s="5">
        <f t="shared" si="0"/>
        <v>220400</v>
      </c>
      <c r="O28" s="5">
        <f>'Raw Data'!N28</f>
        <v>39000</v>
      </c>
      <c r="P28" s="5">
        <f>IF(ISBLANK('Raw Data'!N28),AVERAGEIFS('Raw Data'!$N$2:$N$433,'Raw Data'!$G$2:$G$433,G28),'Raw Data'!N28)</f>
        <v>39000</v>
      </c>
      <c r="Q28" s="5">
        <f t="shared" si="1"/>
        <v>156000</v>
      </c>
      <c r="R28" s="5">
        <f t="shared" si="2"/>
        <v>64400</v>
      </c>
      <c r="S28" s="3" t="str">
        <f>'Raw Data'!O28</f>
        <v>No</v>
      </c>
      <c r="T28" s="3" t="str">
        <f>'Raw Data'!P28</f>
        <v>David</v>
      </c>
      <c r="U28" s="3" t="str">
        <f t="shared" si="3"/>
        <v>April</v>
      </c>
      <c r="V28" s="11">
        <f t="shared" si="4"/>
        <v>0</v>
      </c>
    </row>
    <row r="29" spans="1:22" x14ac:dyDescent="0.25">
      <c r="A29" s="3">
        <f>'Raw Data'!A29</f>
        <v>100028</v>
      </c>
      <c r="B29" s="4">
        <f>'Raw Data'!B29</f>
        <v>46156</v>
      </c>
      <c r="C29" s="3" t="str">
        <f>'Raw Data'!C29</f>
        <v>AB-01</v>
      </c>
      <c r="D29" s="3" t="str">
        <f>PROPER(TRIM('Raw Data'!D29))</f>
        <v>Abuja</v>
      </c>
      <c r="E29" s="3" t="str">
        <f>'Raw Data'!E29</f>
        <v>Online</v>
      </c>
      <c r="F29" s="3" t="str">
        <f>IF(PROPER(TRIM('Raw Data'!F29))="Accessory","Accessories",PROPER(TRIM('Raw Data'!F29)))</f>
        <v>Electronics</v>
      </c>
      <c r="G29" s="3" t="str">
        <f>'Raw Data'!G29</f>
        <v>Power Bank</v>
      </c>
      <c r="H29" s="3" t="str">
        <f>'Raw Data'!H29</f>
        <v>C1136</v>
      </c>
      <c r="I29" s="3" t="str">
        <f>'Raw Data'!I29</f>
        <v>Returning</v>
      </c>
      <c r="J29" s="3">
        <f>'Raw Data'!J29</f>
        <v>22</v>
      </c>
      <c r="K29" s="5">
        <f>'Raw Data'!K29</f>
        <v>26000</v>
      </c>
      <c r="L29" s="6">
        <f>'Raw Data'!L29</f>
        <v>0.25</v>
      </c>
      <c r="M29" s="5">
        <f>'Raw Data'!M29</f>
        <v>429000</v>
      </c>
      <c r="N29" s="5">
        <f t="shared" si="0"/>
        <v>429000</v>
      </c>
      <c r="O29" s="5">
        <f>'Raw Data'!N29</f>
        <v>15000</v>
      </c>
      <c r="P29" s="5">
        <f>IF(ISBLANK('Raw Data'!N29),AVERAGEIFS('Raw Data'!$N$2:$N$433,'Raw Data'!$G$2:$G$433,G29),'Raw Data'!N29)</f>
        <v>15000</v>
      </c>
      <c r="Q29" s="5">
        <f t="shared" si="1"/>
        <v>330000</v>
      </c>
      <c r="R29" s="5">
        <f t="shared" si="2"/>
        <v>99000</v>
      </c>
      <c r="S29" s="3" t="str">
        <f>'Raw Data'!O29</f>
        <v>No</v>
      </c>
      <c r="T29" s="3" t="str">
        <f>'Raw Data'!P29</f>
        <v>Bola</v>
      </c>
      <c r="U29" s="3" t="str">
        <f t="shared" si="3"/>
        <v>May</v>
      </c>
      <c r="V29" s="11">
        <f t="shared" si="4"/>
        <v>0</v>
      </c>
    </row>
    <row r="30" spans="1:22" x14ac:dyDescent="0.25">
      <c r="A30" s="3">
        <f>'Raw Data'!A30</f>
        <v>100029</v>
      </c>
      <c r="B30" s="4">
        <f>'Raw Data'!B30</f>
        <v>46103</v>
      </c>
      <c r="C30" s="3" t="str">
        <f>'Raw Data'!C30</f>
        <v>AB-01</v>
      </c>
      <c r="D30" s="3" t="str">
        <f>PROPER(TRIM('Raw Data'!D30))</f>
        <v>Abuja</v>
      </c>
      <c r="E30" s="3" t="str">
        <f>'Raw Data'!E30</f>
        <v>In-store</v>
      </c>
      <c r="F30" s="3" t="str">
        <f>IF(PROPER(TRIM('Raw Data'!F30))="Accessory","Accessories",PROPER(TRIM('Raw Data'!F30)))</f>
        <v>Home</v>
      </c>
      <c r="G30" s="3" t="str">
        <f>'Raw Data'!G30</f>
        <v>Standing Fan</v>
      </c>
      <c r="H30" s="3" t="str">
        <f>'Raw Data'!H30</f>
        <v>C1173</v>
      </c>
      <c r="I30" s="3" t="str">
        <f>'Raw Data'!I30</f>
        <v>Returning</v>
      </c>
      <c r="J30" s="3">
        <f>'Raw Data'!J30</f>
        <v>5</v>
      </c>
      <c r="K30" s="5">
        <f>'Raw Data'!K30</f>
        <v>58000</v>
      </c>
      <c r="L30" s="6">
        <f>'Raw Data'!L30</f>
        <v>0.1</v>
      </c>
      <c r="M30" s="5">
        <f>'Raw Data'!M30</f>
        <v>261000</v>
      </c>
      <c r="N30" s="5">
        <f t="shared" si="0"/>
        <v>261000</v>
      </c>
      <c r="O30" s="3">
        <f>'Raw Data'!N30</f>
        <v>0</v>
      </c>
      <c r="P30" s="5">
        <f>IF(ISBLANK('Raw Data'!N30),AVERAGEIFS('Raw Data'!$N$2:$N$433,'Raw Data'!$G$2:$G$433,G30),'Raw Data'!N30)</f>
        <v>39000</v>
      </c>
      <c r="Q30" s="5">
        <f t="shared" si="1"/>
        <v>195000</v>
      </c>
      <c r="R30" s="5">
        <f t="shared" si="2"/>
        <v>66000</v>
      </c>
      <c r="S30" s="3" t="str">
        <f>'Raw Data'!O30</f>
        <v>No</v>
      </c>
      <c r="T30" s="3" t="str">
        <f>'Raw Data'!P30</f>
        <v>Chinedu</v>
      </c>
      <c r="U30" s="3" t="str">
        <f t="shared" si="3"/>
        <v>March</v>
      </c>
      <c r="V30" s="11">
        <f t="shared" si="4"/>
        <v>0</v>
      </c>
    </row>
    <row r="31" spans="1:22" x14ac:dyDescent="0.25">
      <c r="A31" s="3">
        <f>'Raw Data'!A31</f>
        <v>100030</v>
      </c>
      <c r="B31" s="4">
        <f>'Raw Data'!B31</f>
        <v>46209</v>
      </c>
      <c r="C31" s="3" t="str">
        <f>'Raw Data'!C31</f>
        <v>KN-01</v>
      </c>
      <c r="D31" s="3" t="str">
        <f>PROPER(TRIM('Raw Data'!D31))</f>
        <v>Kano</v>
      </c>
      <c r="E31" s="3" t="str">
        <f>'Raw Data'!E31</f>
        <v>Online</v>
      </c>
      <c r="F31" s="3" t="str">
        <f>IF(PROPER(TRIM('Raw Data'!F31))="Accessory","Accessories",PROPER(TRIM('Raw Data'!F31)))</f>
        <v>Electronics</v>
      </c>
      <c r="G31" s="3" t="str">
        <f>'Raw Data'!G31</f>
        <v>Power Bank</v>
      </c>
      <c r="H31" s="3" t="str">
        <f>'Raw Data'!H31</f>
        <v>C1071</v>
      </c>
      <c r="I31" s="3" t="str">
        <f>'Raw Data'!I31</f>
        <v>New</v>
      </c>
      <c r="J31" s="3">
        <f>'Raw Data'!J31</f>
        <v>1</v>
      </c>
      <c r="K31" s="5">
        <f>'Raw Data'!K31</f>
        <v>26000</v>
      </c>
      <c r="L31" s="6">
        <f>'Raw Data'!L31</f>
        <v>0.05</v>
      </c>
      <c r="M31" s="5">
        <f>'Raw Data'!M31</f>
        <v>24700</v>
      </c>
      <c r="N31" s="5">
        <f t="shared" si="0"/>
        <v>24700</v>
      </c>
      <c r="O31" s="5">
        <f>'Raw Data'!N31</f>
        <v>15000</v>
      </c>
      <c r="P31" s="5">
        <f>IF(ISBLANK('Raw Data'!N31),AVERAGEIFS('Raw Data'!$N$2:$N$433,'Raw Data'!$G$2:$G$433,G31),'Raw Data'!N31)</f>
        <v>15000</v>
      </c>
      <c r="Q31" s="5">
        <f t="shared" si="1"/>
        <v>15000</v>
      </c>
      <c r="R31" s="5">
        <f t="shared" si="2"/>
        <v>9700</v>
      </c>
      <c r="S31" s="3" t="str">
        <f>'Raw Data'!O31</f>
        <v>No</v>
      </c>
      <c r="T31" s="3" t="str">
        <f>'Raw Data'!P31</f>
        <v>David</v>
      </c>
      <c r="U31" s="3" t="str">
        <f t="shared" si="3"/>
        <v>July</v>
      </c>
      <c r="V31" s="11">
        <f t="shared" si="4"/>
        <v>0</v>
      </c>
    </row>
    <row r="32" spans="1:22" x14ac:dyDescent="0.25">
      <c r="A32" s="3">
        <f>'Raw Data'!A32</f>
        <v>100031</v>
      </c>
      <c r="B32" s="4">
        <f>'Raw Data'!B32</f>
        <v>46182</v>
      </c>
      <c r="C32" s="3" t="str">
        <f>'Raw Data'!C32</f>
        <v>AB-01</v>
      </c>
      <c r="D32" s="3" t="str">
        <f>PROPER(TRIM('Raw Data'!D32))</f>
        <v>Abuja</v>
      </c>
      <c r="E32" s="3" t="str">
        <f>'Raw Data'!E32</f>
        <v>In-store</v>
      </c>
      <c r="F32" s="3" t="str">
        <f>IF(PROPER(TRIM('Raw Data'!F32))="Accessory","Accessories",PROPER(TRIM('Raw Data'!F32)))</f>
        <v>Home</v>
      </c>
      <c r="G32" s="3" t="str">
        <f>'Raw Data'!G32</f>
        <v>Standing Fan</v>
      </c>
      <c r="H32" s="3" t="str">
        <f>'Raw Data'!H32</f>
        <v>C1047</v>
      </c>
      <c r="I32" s="3" t="str">
        <f>'Raw Data'!I32</f>
        <v>New</v>
      </c>
      <c r="J32" s="3">
        <f>'Raw Data'!J32</f>
        <v>2</v>
      </c>
      <c r="K32" s="5">
        <f>'Raw Data'!K32</f>
        <v>58000</v>
      </c>
      <c r="L32" s="6">
        <f>'Raw Data'!L32</f>
        <v>0.15</v>
      </c>
      <c r="M32" s="5">
        <f>'Raw Data'!M32</f>
        <v>98600</v>
      </c>
      <c r="N32" s="5">
        <f t="shared" si="0"/>
        <v>98600</v>
      </c>
      <c r="O32" s="5">
        <f>'Raw Data'!N32</f>
        <v>39000</v>
      </c>
      <c r="P32" s="5">
        <f>IF(ISBLANK('Raw Data'!N32),AVERAGEIFS('Raw Data'!$N$2:$N$433,'Raw Data'!$G$2:$G$433,G32),'Raw Data'!N32)</f>
        <v>39000</v>
      </c>
      <c r="Q32" s="5">
        <f t="shared" si="1"/>
        <v>78000</v>
      </c>
      <c r="R32" s="5">
        <f t="shared" si="2"/>
        <v>20600</v>
      </c>
      <c r="S32" s="3" t="str">
        <f>'Raw Data'!O32</f>
        <v>No</v>
      </c>
      <c r="T32" s="3" t="str">
        <f>'Raw Data'!P32</f>
        <v>Aisha</v>
      </c>
      <c r="U32" s="3" t="str">
        <f t="shared" si="3"/>
        <v>June</v>
      </c>
      <c r="V32" s="11">
        <f t="shared" si="4"/>
        <v>0</v>
      </c>
    </row>
    <row r="33" spans="1:22" x14ac:dyDescent="0.25">
      <c r="A33" s="3">
        <f>'Raw Data'!A33</f>
        <v>100032</v>
      </c>
      <c r="B33" s="4">
        <f>'Raw Data'!B33</f>
        <v>46109</v>
      </c>
      <c r="C33" s="3" t="str">
        <f>'Raw Data'!C33</f>
        <v>PH-01</v>
      </c>
      <c r="D33" s="3" t="str">
        <f>PROPER(TRIM('Raw Data'!D33))</f>
        <v>Port Harcourt</v>
      </c>
      <c r="E33" s="3" t="str">
        <f>'Raw Data'!E33</f>
        <v>Online</v>
      </c>
      <c r="F33" s="3" t="str">
        <f>IF(PROPER(TRIM('Raw Data'!F33))="Accessory","Accessories",PROPER(TRIM('Raw Data'!F33)))</f>
        <v>Home</v>
      </c>
      <c r="G33" s="3" t="str">
        <f>'Raw Data'!G33</f>
        <v>Electric Kettle</v>
      </c>
      <c r="H33" s="3" t="str">
        <f>'Raw Data'!H33</f>
        <v>C1051</v>
      </c>
      <c r="I33" s="3" t="str">
        <f>'Raw Data'!I33</f>
        <v>New</v>
      </c>
      <c r="J33" s="3">
        <f>'Raw Data'!J33</f>
        <v>1</v>
      </c>
      <c r="K33" s="5">
        <f>'Raw Data'!K33</f>
        <v>24000</v>
      </c>
      <c r="L33" s="6">
        <f>'Raw Data'!L33</f>
        <v>0.05</v>
      </c>
      <c r="M33" s="5">
        <f>'Raw Data'!M33</f>
        <v>22800</v>
      </c>
      <c r="N33" s="5">
        <f t="shared" si="0"/>
        <v>22800</v>
      </c>
      <c r="O33" s="5">
        <f>'Raw Data'!N33</f>
        <v>15000</v>
      </c>
      <c r="P33" s="5">
        <f>IF(ISBLANK('Raw Data'!N33),AVERAGEIFS('Raw Data'!$N$2:$N$433,'Raw Data'!$G$2:$G$433,G33),'Raw Data'!N33)</f>
        <v>15000</v>
      </c>
      <c r="Q33" s="5">
        <f t="shared" si="1"/>
        <v>15000</v>
      </c>
      <c r="R33" s="5">
        <f t="shared" si="2"/>
        <v>7800</v>
      </c>
      <c r="S33" s="3" t="str">
        <f>'Raw Data'!O33</f>
        <v>No</v>
      </c>
      <c r="T33" s="3" t="str">
        <f>'Raw Data'!P33</f>
        <v>Kemi</v>
      </c>
      <c r="U33" s="3" t="str">
        <f t="shared" si="3"/>
        <v>March</v>
      </c>
      <c r="V33" s="11">
        <f t="shared" si="4"/>
        <v>0</v>
      </c>
    </row>
    <row r="34" spans="1:22" x14ac:dyDescent="0.25">
      <c r="A34" s="3">
        <f>'Raw Data'!A34</f>
        <v>100033</v>
      </c>
      <c r="B34" s="4">
        <f>'Raw Data'!B34</f>
        <v>46152</v>
      </c>
      <c r="C34" s="3" t="str">
        <f>'Raw Data'!C34</f>
        <v>LG-01</v>
      </c>
      <c r="D34" s="3" t="str">
        <f>PROPER(TRIM('Raw Data'!D34))</f>
        <v>Lagos</v>
      </c>
      <c r="E34" s="3" t="str">
        <f>'Raw Data'!E34</f>
        <v>In-store</v>
      </c>
      <c r="F34" s="3" t="str">
        <f>IF(PROPER(TRIM('Raw Data'!F34))="Accessory","Accessories",PROPER(TRIM('Raw Data'!F34)))</f>
        <v>Home</v>
      </c>
      <c r="G34" s="3" t="str">
        <f>'Raw Data'!G34</f>
        <v>Standing Fan</v>
      </c>
      <c r="H34" s="3" t="str">
        <f>'Raw Data'!H34</f>
        <v>C1094</v>
      </c>
      <c r="I34" s="3" t="str">
        <f>'Raw Data'!I34</f>
        <v>New</v>
      </c>
      <c r="J34" s="3">
        <f>'Raw Data'!J34</f>
        <v>3</v>
      </c>
      <c r="K34" s="5">
        <f>'Raw Data'!K34</f>
        <v>58000</v>
      </c>
      <c r="L34" s="6">
        <f>'Raw Data'!L34</f>
        <v>0</v>
      </c>
      <c r="M34" s="5">
        <f>'Raw Data'!M34</f>
        <v>174000</v>
      </c>
      <c r="N34" s="5">
        <f t="shared" si="0"/>
        <v>174000</v>
      </c>
      <c r="O34" s="5">
        <f>'Raw Data'!N34</f>
        <v>39000</v>
      </c>
      <c r="P34" s="5">
        <f>IF(ISBLANK('Raw Data'!N34),AVERAGEIFS('Raw Data'!$N$2:$N$433,'Raw Data'!$G$2:$G$433,G34),'Raw Data'!N34)</f>
        <v>39000</v>
      </c>
      <c r="Q34" s="5">
        <f t="shared" si="1"/>
        <v>117000</v>
      </c>
      <c r="R34" s="5">
        <f t="shared" si="2"/>
        <v>57000</v>
      </c>
      <c r="S34" s="3" t="str">
        <f>'Raw Data'!O34</f>
        <v>No</v>
      </c>
      <c r="T34" s="3" t="str">
        <f>'Raw Data'!P34</f>
        <v>Aisha</v>
      </c>
      <c r="U34" s="3" t="str">
        <f t="shared" si="3"/>
        <v>May</v>
      </c>
      <c r="V34" s="11">
        <f t="shared" si="4"/>
        <v>0</v>
      </c>
    </row>
    <row r="35" spans="1:22" x14ac:dyDescent="0.25">
      <c r="A35" s="3">
        <f>'Raw Data'!A35</f>
        <v>100034</v>
      </c>
      <c r="B35" s="4">
        <f>'Raw Data'!B35</f>
        <v>46157</v>
      </c>
      <c r="C35" s="3" t="str">
        <f>'Raw Data'!C35</f>
        <v>PH-01</v>
      </c>
      <c r="D35" s="3" t="str">
        <f>PROPER(TRIM('Raw Data'!D35))</f>
        <v>Port Harcourt</v>
      </c>
      <c r="E35" s="3" t="str">
        <f>'Raw Data'!E35</f>
        <v>In-store</v>
      </c>
      <c r="F35" s="3" t="str">
        <f>IF(PROPER(TRIM('Raw Data'!F35))="Accessory","Accessories",PROPER(TRIM('Raw Data'!F35)))</f>
        <v>Home</v>
      </c>
      <c r="G35" s="3" t="str">
        <f>'Raw Data'!G35</f>
        <v>Standing Fan</v>
      </c>
      <c r="H35" s="3" t="str">
        <f>'Raw Data'!H35</f>
        <v>C1089</v>
      </c>
      <c r="I35" s="3" t="str">
        <f>'Raw Data'!I35</f>
        <v>Returning</v>
      </c>
      <c r="J35" s="3">
        <f>'Raw Data'!J35</f>
        <v>1</v>
      </c>
      <c r="K35" s="5">
        <f>'Raw Data'!K35</f>
        <v>58000</v>
      </c>
      <c r="L35" s="6">
        <f>'Raw Data'!L35</f>
        <v>0.15</v>
      </c>
      <c r="M35" s="5">
        <f>'Raw Data'!M35</f>
        <v>49300</v>
      </c>
      <c r="N35" s="5">
        <f t="shared" si="0"/>
        <v>49300</v>
      </c>
      <c r="O35" s="5">
        <f>'Raw Data'!N35</f>
        <v>39000</v>
      </c>
      <c r="P35" s="5">
        <f>IF(ISBLANK('Raw Data'!N35),AVERAGEIFS('Raw Data'!$N$2:$N$433,'Raw Data'!$G$2:$G$433,G35),'Raw Data'!N35)</f>
        <v>39000</v>
      </c>
      <c r="Q35" s="5">
        <f t="shared" si="1"/>
        <v>39000</v>
      </c>
      <c r="R35" s="5">
        <f t="shared" si="2"/>
        <v>10300</v>
      </c>
      <c r="S35" s="3" t="str">
        <f>'Raw Data'!O35</f>
        <v>No</v>
      </c>
      <c r="T35" s="3" t="str">
        <f>'Raw Data'!P35</f>
        <v>Bola</v>
      </c>
      <c r="U35" s="3" t="str">
        <f t="shared" si="3"/>
        <v>May</v>
      </c>
      <c r="V35" s="11">
        <f t="shared" si="4"/>
        <v>0</v>
      </c>
    </row>
    <row r="36" spans="1:22" x14ac:dyDescent="0.25">
      <c r="A36" s="3">
        <f>'Raw Data'!A36</f>
        <v>100035</v>
      </c>
      <c r="B36" s="4">
        <f>'Raw Data'!B36</f>
        <v>46076</v>
      </c>
      <c r="C36" s="3" t="str">
        <f>'Raw Data'!C36</f>
        <v>KN-01</v>
      </c>
      <c r="D36" s="3" t="str">
        <f>PROPER(TRIM('Raw Data'!D36))</f>
        <v>Kano</v>
      </c>
      <c r="E36" s="3" t="str">
        <f>'Raw Data'!E36</f>
        <v>In-store</v>
      </c>
      <c r="F36" s="3" t="str">
        <f>IF(PROPER(TRIM('Raw Data'!F36))="Accessory","Accessories",PROPER(TRIM('Raw Data'!F36)))</f>
        <v>Accessories</v>
      </c>
      <c r="G36" s="3" t="str">
        <f>'Raw Data'!G36</f>
        <v>Backpack</v>
      </c>
      <c r="H36" s="3" t="str">
        <f>'Raw Data'!H36</f>
        <v>C1048</v>
      </c>
      <c r="I36" s="3" t="str">
        <f>'Raw Data'!I36</f>
        <v>Returning</v>
      </c>
      <c r="J36" s="3">
        <f>'Raw Data'!J36</f>
        <v>25</v>
      </c>
      <c r="K36" s="5">
        <f>'Raw Data'!K36</f>
        <v>28000</v>
      </c>
      <c r="L36" s="6">
        <f>'Raw Data'!L36</f>
        <v>0.05</v>
      </c>
      <c r="M36" s="5">
        <f>'Raw Data'!M36</f>
        <v>665000</v>
      </c>
      <c r="N36" s="5">
        <f t="shared" si="0"/>
        <v>665000</v>
      </c>
      <c r="O36" s="5">
        <f>'Raw Data'!N36</f>
        <v>16000</v>
      </c>
      <c r="P36" s="5">
        <f>IF(ISBLANK('Raw Data'!N36),AVERAGEIFS('Raw Data'!$N$2:$N$433,'Raw Data'!$G$2:$G$433,G36),'Raw Data'!N36)</f>
        <v>16000</v>
      </c>
      <c r="Q36" s="5">
        <f t="shared" si="1"/>
        <v>400000</v>
      </c>
      <c r="R36" s="5">
        <f t="shared" si="2"/>
        <v>265000</v>
      </c>
      <c r="S36" s="3" t="str">
        <f>'Raw Data'!O36</f>
        <v>No</v>
      </c>
      <c r="T36" s="3" t="str">
        <f>'Raw Data'!P36</f>
        <v>Ibrahim</v>
      </c>
      <c r="U36" s="3" t="str">
        <f t="shared" si="3"/>
        <v>February</v>
      </c>
      <c r="V36" s="11">
        <f t="shared" si="4"/>
        <v>0</v>
      </c>
    </row>
    <row r="37" spans="1:22" x14ac:dyDescent="0.25">
      <c r="A37" s="3">
        <f>'Raw Data'!A37</f>
        <v>100036</v>
      </c>
      <c r="B37" s="4">
        <f>'Raw Data'!B37</f>
        <v>46076</v>
      </c>
      <c r="C37" s="3" t="str">
        <f>'Raw Data'!C37</f>
        <v>KN-01</v>
      </c>
      <c r="D37" s="3" t="str">
        <f>PROPER(TRIM('Raw Data'!D37))</f>
        <v>Kano</v>
      </c>
      <c r="E37" s="3" t="str">
        <f>'Raw Data'!E37</f>
        <v>In-store</v>
      </c>
      <c r="F37" s="3" t="str">
        <f>IF(PROPER(TRIM('Raw Data'!F37))="Accessory","Accessories",PROPER(TRIM('Raw Data'!F37)))</f>
        <v>Electronics</v>
      </c>
      <c r="G37" s="3" t="str">
        <f>'Raw Data'!G37</f>
        <v>Earbuds</v>
      </c>
      <c r="H37" s="3" t="str">
        <f>'Raw Data'!H37</f>
        <v>C1056</v>
      </c>
      <c r="I37" s="3" t="str">
        <f>'Raw Data'!I37</f>
        <v>New</v>
      </c>
      <c r="J37" s="3">
        <f>'Raw Data'!J37</f>
        <v>2</v>
      </c>
      <c r="K37" s="5">
        <f>'Raw Data'!K37</f>
        <v>32000</v>
      </c>
      <c r="L37" s="6">
        <f>'Raw Data'!L37</f>
        <v>0.05</v>
      </c>
      <c r="M37" s="5">
        <f>'Raw Data'!M37</f>
        <v>60800</v>
      </c>
      <c r="N37" s="5">
        <f t="shared" si="0"/>
        <v>60800</v>
      </c>
      <c r="O37" s="5">
        <f>'Raw Data'!N37</f>
        <v>19000</v>
      </c>
      <c r="P37" s="5">
        <f>IF(ISBLANK('Raw Data'!N37),AVERAGEIFS('Raw Data'!$N$2:$N$433,'Raw Data'!$G$2:$G$433,G37),'Raw Data'!N37)</f>
        <v>19000</v>
      </c>
      <c r="Q37" s="5">
        <f t="shared" si="1"/>
        <v>38000</v>
      </c>
      <c r="R37" s="5">
        <f t="shared" si="2"/>
        <v>22800</v>
      </c>
      <c r="S37" s="3" t="str">
        <f>'Raw Data'!O37</f>
        <v>Yes</v>
      </c>
      <c r="T37" s="3" t="str">
        <f>'Raw Data'!P37</f>
        <v>Bola</v>
      </c>
      <c r="U37" s="3" t="str">
        <f t="shared" si="3"/>
        <v>February</v>
      </c>
      <c r="V37" s="11">
        <f t="shared" si="4"/>
        <v>1</v>
      </c>
    </row>
    <row r="38" spans="1:22" x14ac:dyDescent="0.25">
      <c r="A38" s="3">
        <f>'Raw Data'!A38</f>
        <v>100037</v>
      </c>
      <c r="B38" s="4">
        <f>'Raw Data'!B38</f>
        <v>46124</v>
      </c>
      <c r="C38" s="3" t="str">
        <f>'Raw Data'!C38</f>
        <v>AB-01</v>
      </c>
      <c r="D38" s="3" t="str">
        <f>PROPER(TRIM('Raw Data'!D38))</f>
        <v>Abuja</v>
      </c>
      <c r="E38" s="3" t="str">
        <f>'Raw Data'!E38</f>
        <v>In-store</v>
      </c>
      <c r="F38" s="3" t="str">
        <f>IF(PROPER(TRIM('Raw Data'!F38))="Accessory","Accessories",PROPER(TRIM('Raw Data'!F38)))</f>
        <v>Accessories</v>
      </c>
      <c r="G38" s="3" t="str">
        <f>'Raw Data'!G38</f>
        <v>Backpack</v>
      </c>
      <c r="H38" s="3" t="str">
        <f>'Raw Data'!H38</f>
        <v>C1036</v>
      </c>
      <c r="I38" s="3" t="str">
        <f>'Raw Data'!I38</f>
        <v>New</v>
      </c>
      <c r="J38" s="3">
        <f>'Raw Data'!J38</f>
        <v>2</v>
      </c>
      <c r="K38" s="5">
        <f>'Raw Data'!K38</f>
        <v>28000</v>
      </c>
      <c r="L38" s="6">
        <f>'Raw Data'!L38</f>
        <v>0</v>
      </c>
      <c r="M38" s="5">
        <f>'Raw Data'!M38</f>
        <v>56000</v>
      </c>
      <c r="N38" s="5">
        <f t="shared" si="0"/>
        <v>56000</v>
      </c>
      <c r="O38" s="5">
        <f>'Raw Data'!N38</f>
        <v>16000</v>
      </c>
      <c r="P38" s="5">
        <f>IF(ISBLANK('Raw Data'!N38),AVERAGEIFS('Raw Data'!$N$2:$N$433,'Raw Data'!$G$2:$G$433,G38),'Raw Data'!N38)</f>
        <v>16000</v>
      </c>
      <c r="Q38" s="5">
        <f t="shared" si="1"/>
        <v>32000</v>
      </c>
      <c r="R38" s="5">
        <f t="shared" si="2"/>
        <v>24000</v>
      </c>
      <c r="S38" s="3" t="str">
        <f>'Raw Data'!O38</f>
        <v>No</v>
      </c>
      <c r="T38" s="3" t="str">
        <f>'Raw Data'!P38</f>
        <v>Grace</v>
      </c>
      <c r="U38" s="3" t="str">
        <f t="shared" si="3"/>
        <v>April</v>
      </c>
      <c r="V38" s="11">
        <f t="shared" si="4"/>
        <v>0</v>
      </c>
    </row>
    <row r="39" spans="1:22" x14ac:dyDescent="0.25">
      <c r="A39" s="3">
        <f>'Raw Data'!A39</f>
        <v>100038</v>
      </c>
      <c r="B39" s="4">
        <f>'Raw Data'!B39</f>
        <v>46037</v>
      </c>
      <c r="C39" s="3" t="str">
        <f>'Raw Data'!C39</f>
        <v>KN-01</v>
      </c>
      <c r="D39" s="3" t="str">
        <f>PROPER(TRIM('Raw Data'!D39))</f>
        <v>Kano</v>
      </c>
      <c r="E39" s="3" t="str">
        <f>'Raw Data'!E39</f>
        <v>Online</v>
      </c>
      <c r="F39" s="3" t="str">
        <f>IF(PROPER(TRIM('Raw Data'!F39))="Accessory","Accessories",PROPER(TRIM('Raw Data'!F39)))</f>
        <v>Electronics</v>
      </c>
      <c r="G39" s="3" t="str">
        <f>'Raw Data'!G39</f>
        <v>Earbuds</v>
      </c>
      <c r="H39" s="3" t="str">
        <f>'Raw Data'!H39</f>
        <v>C1138</v>
      </c>
      <c r="I39" s="3" t="str">
        <f>'Raw Data'!I39</f>
        <v>Returning</v>
      </c>
      <c r="J39" s="3">
        <f>'Raw Data'!J39</f>
        <v>2</v>
      </c>
      <c r="K39" s="5">
        <f>'Raw Data'!K39</f>
        <v>32000</v>
      </c>
      <c r="L39" s="6">
        <f>'Raw Data'!L39</f>
        <v>0</v>
      </c>
      <c r="M39" s="5">
        <f>'Raw Data'!M39</f>
        <v>64000</v>
      </c>
      <c r="N39" s="5">
        <f t="shared" si="0"/>
        <v>64000</v>
      </c>
      <c r="O39" s="5">
        <f>'Raw Data'!N39</f>
        <v>19000</v>
      </c>
      <c r="P39" s="5">
        <f>IF(ISBLANK('Raw Data'!N39),AVERAGEIFS('Raw Data'!$N$2:$N$433,'Raw Data'!$G$2:$G$433,G39),'Raw Data'!N39)</f>
        <v>19000</v>
      </c>
      <c r="Q39" s="5">
        <f t="shared" si="1"/>
        <v>38000</v>
      </c>
      <c r="R39" s="5">
        <f t="shared" si="2"/>
        <v>26000</v>
      </c>
      <c r="S39" s="3" t="str">
        <f>'Raw Data'!O39</f>
        <v>No</v>
      </c>
      <c r="T39" s="3" t="str">
        <f>'Raw Data'!P39</f>
        <v>Aisha</v>
      </c>
      <c r="U39" s="3" t="str">
        <f t="shared" si="3"/>
        <v>January</v>
      </c>
      <c r="V39" s="11">
        <f t="shared" si="4"/>
        <v>0</v>
      </c>
    </row>
    <row r="40" spans="1:22" x14ac:dyDescent="0.25">
      <c r="A40" s="3">
        <f>'Raw Data'!A40</f>
        <v>100039</v>
      </c>
      <c r="B40" s="4">
        <f>'Raw Data'!B40</f>
        <v>46116</v>
      </c>
      <c r="C40" s="3" t="str">
        <f>'Raw Data'!C40</f>
        <v>AB-02</v>
      </c>
      <c r="D40" s="3" t="str">
        <f>PROPER(TRIM('Raw Data'!D40))</f>
        <v>Abuja</v>
      </c>
      <c r="E40" s="3" t="str">
        <f>'Raw Data'!E40</f>
        <v>Online</v>
      </c>
      <c r="F40" s="3" t="str">
        <f>IF(PROPER(TRIM('Raw Data'!F40))="Accessory","Accessories",PROPER(TRIM('Raw Data'!F40)))</f>
        <v>Accessories</v>
      </c>
      <c r="G40" s="3" t="str">
        <f>'Raw Data'!G40</f>
        <v>USB Cable</v>
      </c>
      <c r="H40" s="3" t="str">
        <f>'Raw Data'!H40</f>
        <v>C1044</v>
      </c>
      <c r="I40" s="3" t="str">
        <f>'Raw Data'!I40</f>
        <v>New</v>
      </c>
      <c r="J40" s="3">
        <f>'Raw Data'!J40</f>
        <v>3</v>
      </c>
      <c r="K40" s="5">
        <f>'Raw Data'!K40</f>
        <v>6500</v>
      </c>
      <c r="L40" s="6">
        <f>'Raw Data'!L40</f>
        <v>0.1</v>
      </c>
      <c r="M40" s="5">
        <f>'Raw Data'!M40</f>
        <v>17550</v>
      </c>
      <c r="N40" s="5">
        <f t="shared" si="0"/>
        <v>17550</v>
      </c>
      <c r="O40" s="5">
        <f>'Raw Data'!N40</f>
        <v>2200</v>
      </c>
      <c r="P40" s="5">
        <f>IF(ISBLANK('Raw Data'!N40),AVERAGEIFS('Raw Data'!$N$2:$N$433,'Raw Data'!$G$2:$G$433,G40),'Raw Data'!N40)</f>
        <v>2200</v>
      </c>
      <c r="Q40" s="5">
        <f t="shared" si="1"/>
        <v>6600</v>
      </c>
      <c r="R40" s="5">
        <f t="shared" si="2"/>
        <v>10950</v>
      </c>
      <c r="S40" s="3" t="str">
        <f>'Raw Data'!O40</f>
        <v>No</v>
      </c>
      <c r="T40" s="3" t="str">
        <f>'Raw Data'!P40</f>
        <v>Grace</v>
      </c>
      <c r="U40" s="3" t="str">
        <f t="shared" si="3"/>
        <v>April</v>
      </c>
      <c r="V40" s="11">
        <f t="shared" si="4"/>
        <v>0</v>
      </c>
    </row>
    <row r="41" spans="1:22" x14ac:dyDescent="0.25">
      <c r="A41" s="3">
        <f>'Raw Data'!A41</f>
        <v>100040</v>
      </c>
      <c r="B41" s="4">
        <f>'Raw Data'!B41</f>
        <v>46145</v>
      </c>
      <c r="C41" s="3" t="str">
        <f>'Raw Data'!C41</f>
        <v>AB-01</v>
      </c>
      <c r="D41" s="3" t="str">
        <f>PROPER(TRIM('Raw Data'!D41))</f>
        <v>Abuja</v>
      </c>
      <c r="E41" s="3" t="str">
        <f>'Raw Data'!E41</f>
        <v>WhatsApp</v>
      </c>
      <c r="F41" s="3" t="str">
        <f>IF(PROPER(TRIM('Raw Data'!F41))="Accessory","Accessories",PROPER(TRIM('Raw Data'!F41)))</f>
        <v>Home</v>
      </c>
      <c r="G41" s="3" t="str">
        <f>'Raw Data'!G41</f>
        <v>Standing Fan</v>
      </c>
      <c r="H41" s="3" t="str">
        <f>'Raw Data'!H41</f>
        <v>C1063</v>
      </c>
      <c r="I41" s="3" t="str">
        <f>'Raw Data'!I41</f>
        <v>Returning</v>
      </c>
      <c r="J41" s="3">
        <f>'Raw Data'!J41</f>
        <v>1</v>
      </c>
      <c r="K41" s="5">
        <f>'Raw Data'!K41</f>
        <v>58000</v>
      </c>
      <c r="L41" s="6">
        <f>'Raw Data'!L41</f>
        <v>0.05</v>
      </c>
      <c r="M41" s="5">
        <f>'Raw Data'!M41</f>
        <v>55100</v>
      </c>
      <c r="N41" s="5">
        <f t="shared" si="0"/>
        <v>55100</v>
      </c>
      <c r="O41" s="5">
        <f>'Raw Data'!N41</f>
        <v>39000</v>
      </c>
      <c r="P41" s="5">
        <f>IF(ISBLANK('Raw Data'!N41),AVERAGEIFS('Raw Data'!$N$2:$N$433,'Raw Data'!$G$2:$G$433,G41),'Raw Data'!N41)</f>
        <v>39000</v>
      </c>
      <c r="Q41" s="5">
        <f t="shared" si="1"/>
        <v>39000</v>
      </c>
      <c r="R41" s="5">
        <f t="shared" si="2"/>
        <v>16100</v>
      </c>
      <c r="S41" s="3" t="str">
        <f>'Raw Data'!O41</f>
        <v>No</v>
      </c>
      <c r="T41" s="3" t="str">
        <f>'Raw Data'!P41</f>
        <v>Kemi</v>
      </c>
      <c r="U41" s="3" t="str">
        <f t="shared" si="3"/>
        <v>May</v>
      </c>
      <c r="V41" s="11">
        <f t="shared" si="4"/>
        <v>0</v>
      </c>
    </row>
    <row r="42" spans="1:22" x14ac:dyDescent="0.25">
      <c r="A42" s="3">
        <f>'Raw Data'!A42</f>
        <v>100041</v>
      </c>
      <c r="B42" s="4">
        <f>'Raw Data'!B42</f>
        <v>46035</v>
      </c>
      <c r="C42" s="3" t="str">
        <f>'Raw Data'!C42</f>
        <v>PH-01</v>
      </c>
      <c r="D42" s="3" t="str">
        <f>PROPER(TRIM('Raw Data'!D42))</f>
        <v>Port Harcourt</v>
      </c>
      <c r="E42" s="3" t="str">
        <f>'Raw Data'!E42</f>
        <v>WhatsApp</v>
      </c>
      <c r="F42" s="3" t="str">
        <f>IF(PROPER(TRIM('Raw Data'!F42))="Accessory","Accessories",PROPER(TRIM('Raw Data'!F42)))</f>
        <v>Electronics</v>
      </c>
      <c r="G42" s="3" t="str">
        <f>'Raw Data'!G42</f>
        <v>Earbuds</v>
      </c>
      <c r="H42" s="3" t="str">
        <f>'Raw Data'!H42</f>
        <v>C1001</v>
      </c>
      <c r="I42" s="3" t="str">
        <f>'Raw Data'!I42</f>
        <v>Returning</v>
      </c>
      <c r="J42" s="3">
        <f>'Raw Data'!J42</f>
        <v>3</v>
      </c>
      <c r="K42" s="5">
        <f>'Raw Data'!K42</f>
        <v>32000</v>
      </c>
      <c r="L42" s="6">
        <f>'Raw Data'!L42</f>
        <v>0.1</v>
      </c>
      <c r="M42" s="5">
        <f>'Raw Data'!M42</f>
        <v>86400</v>
      </c>
      <c r="N42" s="5">
        <f t="shared" si="0"/>
        <v>86400</v>
      </c>
      <c r="O42" s="5">
        <f>'Raw Data'!N42</f>
        <v>19000</v>
      </c>
      <c r="P42" s="5">
        <f>IF(ISBLANK('Raw Data'!N42),AVERAGEIFS('Raw Data'!$N$2:$N$433,'Raw Data'!$G$2:$G$433,G42),'Raw Data'!N42)</f>
        <v>19000</v>
      </c>
      <c r="Q42" s="5">
        <f t="shared" si="1"/>
        <v>57000</v>
      </c>
      <c r="R42" s="5">
        <f t="shared" si="2"/>
        <v>29400</v>
      </c>
      <c r="S42" s="3" t="str">
        <f>'Raw Data'!O42</f>
        <v>No</v>
      </c>
      <c r="T42" s="3" t="str">
        <f>'Raw Data'!P42</f>
        <v>Bola</v>
      </c>
      <c r="U42" s="3" t="str">
        <f t="shared" si="3"/>
        <v>January</v>
      </c>
      <c r="V42" s="11">
        <f t="shared" si="4"/>
        <v>0</v>
      </c>
    </row>
    <row r="43" spans="1:22" x14ac:dyDescent="0.25">
      <c r="A43" s="3">
        <f>'Raw Data'!A43</f>
        <v>100042</v>
      </c>
      <c r="B43" s="4">
        <f>'Raw Data'!B43</f>
        <v>46151</v>
      </c>
      <c r="C43" s="3" t="str">
        <f>'Raw Data'!C43</f>
        <v>IB-01</v>
      </c>
      <c r="D43" s="3" t="str">
        <f>PROPER(TRIM('Raw Data'!D43))</f>
        <v>Ibadan</v>
      </c>
      <c r="E43" s="3" t="str">
        <f>'Raw Data'!E43</f>
        <v>WhatsApp</v>
      </c>
      <c r="F43" s="3" t="str">
        <f>IF(PROPER(TRIM('Raw Data'!F43))="Accessory","Accessories",PROPER(TRIM('Raw Data'!F43)))</f>
        <v>Electronics</v>
      </c>
      <c r="G43" s="3" t="str">
        <f>'Raw Data'!G43</f>
        <v>Smartphone</v>
      </c>
      <c r="H43" s="3" t="str">
        <f>'Raw Data'!H43</f>
        <v>C1174</v>
      </c>
      <c r="I43" s="3" t="str">
        <f>'Raw Data'!I43</f>
        <v>Returning</v>
      </c>
      <c r="J43" s="3">
        <f>'Raw Data'!J43</f>
        <v>2</v>
      </c>
      <c r="K43" s="5">
        <f>'Raw Data'!K43</f>
        <v>165000</v>
      </c>
      <c r="L43" s="6">
        <f>'Raw Data'!L43</f>
        <v>0</v>
      </c>
      <c r="M43" s="5">
        <f>'Raw Data'!M43</f>
        <v>330000</v>
      </c>
      <c r="N43" s="5">
        <f t="shared" si="0"/>
        <v>330000</v>
      </c>
      <c r="O43" s="5">
        <f>'Raw Data'!N43</f>
        <v>112000</v>
      </c>
      <c r="P43" s="5">
        <f>IF(ISBLANK('Raw Data'!N43),AVERAGEIFS('Raw Data'!$N$2:$N$433,'Raw Data'!$G$2:$G$433,G43),'Raw Data'!N43)</f>
        <v>112000</v>
      </c>
      <c r="Q43" s="5">
        <f t="shared" si="1"/>
        <v>224000</v>
      </c>
      <c r="R43" s="5">
        <f t="shared" si="2"/>
        <v>106000</v>
      </c>
      <c r="S43" s="3" t="str">
        <f>'Raw Data'!O43</f>
        <v>No</v>
      </c>
      <c r="T43" s="3" t="str">
        <f>'Raw Data'!P43</f>
        <v>Chinedu</v>
      </c>
      <c r="U43" s="3" t="str">
        <f t="shared" si="3"/>
        <v>May</v>
      </c>
      <c r="V43" s="11">
        <f t="shared" si="4"/>
        <v>0</v>
      </c>
    </row>
    <row r="44" spans="1:22" x14ac:dyDescent="0.25">
      <c r="A44" s="3">
        <f>'Raw Data'!A44</f>
        <v>100043</v>
      </c>
      <c r="B44" s="4">
        <f>'Raw Data'!B44</f>
        <v>46188</v>
      </c>
      <c r="C44" s="3" t="str">
        <f>'Raw Data'!C44</f>
        <v>IB-01</v>
      </c>
      <c r="D44" s="3" t="str">
        <f>PROPER(TRIM('Raw Data'!D44))</f>
        <v>Ibadan</v>
      </c>
      <c r="E44" s="3" t="str">
        <f>'Raw Data'!E44</f>
        <v>In-store</v>
      </c>
      <c r="F44" s="3" t="str">
        <f>IF(PROPER(TRIM('Raw Data'!F44))="Accessory","Accessories",PROPER(TRIM('Raw Data'!F44)))</f>
        <v>Home</v>
      </c>
      <c r="G44" s="3" t="str">
        <f>'Raw Data'!G44</f>
        <v>Electric Kettle</v>
      </c>
      <c r="H44" s="3" t="str">
        <f>'Raw Data'!H44</f>
        <v>C1169</v>
      </c>
      <c r="I44" s="3" t="str">
        <f>'Raw Data'!I44</f>
        <v>Returning</v>
      </c>
      <c r="J44" s="3">
        <f>'Raw Data'!J44</f>
        <v>2</v>
      </c>
      <c r="K44" s="5">
        <f>'Raw Data'!K44</f>
        <v>24000</v>
      </c>
      <c r="L44" s="6">
        <f>'Raw Data'!L44</f>
        <v>0.15</v>
      </c>
      <c r="M44" s="5">
        <f>'Raw Data'!M44</f>
        <v>40800</v>
      </c>
      <c r="N44" s="5">
        <f t="shared" si="0"/>
        <v>40800</v>
      </c>
      <c r="O44" s="5">
        <f>'Raw Data'!N44</f>
        <v>15000</v>
      </c>
      <c r="P44" s="5">
        <f>IF(ISBLANK('Raw Data'!N44),AVERAGEIFS('Raw Data'!$N$2:$N$433,'Raw Data'!$G$2:$G$433,G44),'Raw Data'!N44)</f>
        <v>15000</v>
      </c>
      <c r="Q44" s="5">
        <f t="shared" si="1"/>
        <v>30000</v>
      </c>
      <c r="R44" s="5">
        <f t="shared" si="2"/>
        <v>10800</v>
      </c>
      <c r="S44" s="3" t="str">
        <f>'Raw Data'!O44</f>
        <v>No</v>
      </c>
      <c r="T44" s="3" t="str">
        <f>'Raw Data'!P44</f>
        <v>Bola</v>
      </c>
      <c r="U44" s="3" t="str">
        <f t="shared" si="3"/>
        <v>June</v>
      </c>
      <c r="V44" s="11">
        <f t="shared" si="4"/>
        <v>0</v>
      </c>
    </row>
    <row r="45" spans="1:22" x14ac:dyDescent="0.25">
      <c r="A45" s="3">
        <f>'Raw Data'!A45</f>
        <v>100044</v>
      </c>
      <c r="B45" s="4">
        <f>'Raw Data'!B45</f>
        <v>46167</v>
      </c>
      <c r="C45" s="3" t="str">
        <f>'Raw Data'!C45</f>
        <v>AB-01</v>
      </c>
      <c r="D45" s="3" t="str">
        <f>PROPER(TRIM('Raw Data'!D45))</f>
        <v>Abuja</v>
      </c>
      <c r="E45" s="3" t="str">
        <f>'Raw Data'!E45</f>
        <v>Online</v>
      </c>
      <c r="F45" s="3" t="str">
        <f>IF(PROPER(TRIM('Raw Data'!F45))="Accessory","Accessories",PROPER(TRIM('Raw Data'!F45)))</f>
        <v>Home</v>
      </c>
      <c r="G45" s="3" t="str">
        <f>'Raw Data'!G45</f>
        <v>Electric Kettle</v>
      </c>
      <c r="H45" s="3" t="str">
        <f>'Raw Data'!H45</f>
        <v>C1081</v>
      </c>
      <c r="I45" s="3" t="str">
        <f>'Raw Data'!I45</f>
        <v>Returning</v>
      </c>
      <c r="J45" s="3">
        <f>'Raw Data'!J45</f>
        <v>1</v>
      </c>
      <c r="K45" s="5">
        <f>'Raw Data'!K45</f>
        <v>24000</v>
      </c>
      <c r="L45" s="6">
        <f>'Raw Data'!L45</f>
        <v>0.2</v>
      </c>
      <c r="M45" s="5">
        <f>'Raw Data'!M45</f>
        <v>19200</v>
      </c>
      <c r="N45" s="5">
        <f t="shared" si="0"/>
        <v>19200</v>
      </c>
      <c r="O45" s="5">
        <f>'Raw Data'!N45</f>
        <v>15000</v>
      </c>
      <c r="P45" s="5">
        <f>IF(ISBLANK('Raw Data'!N45),AVERAGEIFS('Raw Data'!$N$2:$N$433,'Raw Data'!$G$2:$G$433,G45),'Raw Data'!N45)</f>
        <v>15000</v>
      </c>
      <c r="Q45" s="5">
        <f t="shared" si="1"/>
        <v>15000</v>
      </c>
      <c r="R45" s="5">
        <f t="shared" si="2"/>
        <v>4200</v>
      </c>
      <c r="S45" s="3" t="str">
        <f>'Raw Data'!O45</f>
        <v>No</v>
      </c>
      <c r="T45" s="3" t="str">
        <f>'Raw Data'!P45</f>
        <v>Fatima</v>
      </c>
      <c r="U45" s="3" t="str">
        <f t="shared" si="3"/>
        <v>May</v>
      </c>
      <c r="V45" s="11">
        <f t="shared" si="4"/>
        <v>0</v>
      </c>
    </row>
    <row r="46" spans="1:22" x14ac:dyDescent="0.25">
      <c r="A46" s="3">
        <f>'Raw Data'!A46</f>
        <v>100045</v>
      </c>
      <c r="B46" s="4">
        <f>'Raw Data'!B46</f>
        <v>46029</v>
      </c>
      <c r="C46" s="3" t="str">
        <f>'Raw Data'!C46</f>
        <v>LG-02</v>
      </c>
      <c r="D46" s="3" t="str">
        <f>PROPER(TRIM('Raw Data'!D46))</f>
        <v>Lagos</v>
      </c>
      <c r="E46" s="3" t="str">
        <f>'Raw Data'!E46</f>
        <v>Online</v>
      </c>
      <c r="F46" s="3" t="str">
        <f>IF(PROPER(TRIM('Raw Data'!F46))="Accessory","Accessories",PROPER(TRIM('Raw Data'!F46)))</f>
        <v>Electronics</v>
      </c>
      <c r="G46" s="3" t="str">
        <f>'Raw Data'!G46</f>
        <v>Earbuds</v>
      </c>
      <c r="H46" s="3" t="str">
        <f>'Raw Data'!H46</f>
        <v>C1113</v>
      </c>
      <c r="I46" s="3" t="str">
        <f>'Raw Data'!I46</f>
        <v>Returning</v>
      </c>
      <c r="J46" s="3">
        <f>'Raw Data'!J46</f>
        <v>1</v>
      </c>
      <c r="K46" s="5">
        <f>'Raw Data'!K46</f>
        <v>32000</v>
      </c>
      <c r="L46" s="6">
        <f>'Raw Data'!L46</f>
        <v>0</v>
      </c>
      <c r="M46" s="5">
        <f>'Raw Data'!M46</f>
        <v>32000</v>
      </c>
      <c r="N46" s="5">
        <f t="shared" si="0"/>
        <v>32000</v>
      </c>
      <c r="O46" s="5">
        <f>'Raw Data'!N46</f>
        <v>19000</v>
      </c>
      <c r="P46" s="5">
        <f>IF(ISBLANK('Raw Data'!N46),AVERAGEIFS('Raw Data'!$N$2:$N$433,'Raw Data'!$G$2:$G$433,G46),'Raw Data'!N46)</f>
        <v>19000</v>
      </c>
      <c r="Q46" s="5">
        <f t="shared" si="1"/>
        <v>19000</v>
      </c>
      <c r="R46" s="5">
        <f t="shared" si="2"/>
        <v>13000</v>
      </c>
      <c r="S46" s="3" t="str">
        <f>'Raw Data'!O46</f>
        <v>Yes</v>
      </c>
      <c r="T46" s="3" t="str">
        <f>'Raw Data'!P46</f>
        <v>Fatima</v>
      </c>
      <c r="U46" s="3" t="str">
        <f t="shared" si="3"/>
        <v>January</v>
      </c>
      <c r="V46" s="11">
        <f t="shared" si="4"/>
        <v>1</v>
      </c>
    </row>
    <row r="47" spans="1:22" x14ac:dyDescent="0.25">
      <c r="A47" s="3">
        <f>'Raw Data'!A47</f>
        <v>100046</v>
      </c>
      <c r="B47" s="4">
        <f>'Raw Data'!B47</f>
        <v>46145</v>
      </c>
      <c r="C47" s="3" t="str">
        <f>'Raw Data'!C47</f>
        <v>KN-01</v>
      </c>
      <c r="D47" s="3" t="str">
        <f>PROPER(TRIM('Raw Data'!D47))</f>
        <v>Kano</v>
      </c>
      <c r="E47" s="3" t="str">
        <f>'Raw Data'!E47</f>
        <v>In-store</v>
      </c>
      <c r="F47" s="3" t="str">
        <f>IF(PROPER(TRIM('Raw Data'!F47))="Accessory","Accessories",PROPER(TRIM('Raw Data'!F47)))</f>
        <v>Home</v>
      </c>
      <c r="G47" s="3" t="str">
        <f>'Raw Data'!G47</f>
        <v>Electric Kettle</v>
      </c>
      <c r="H47" s="3" t="str">
        <f>'Raw Data'!H47</f>
        <v>C1068</v>
      </c>
      <c r="I47" s="3" t="str">
        <f>'Raw Data'!I47</f>
        <v>Returning</v>
      </c>
      <c r="J47" s="3">
        <f>'Raw Data'!J47</f>
        <v>3</v>
      </c>
      <c r="K47" s="5">
        <f>'Raw Data'!K47</f>
        <v>24000</v>
      </c>
      <c r="L47" s="6">
        <f>'Raw Data'!L47</f>
        <v>0.05</v>
      </c>
      <c r="M47" s="5">
        <f>'Raw Data'!M47</f>
        <v>68400</v>
      </c>
      <c r="N47" s="5">
        <f t="shared" si="0"/>
        <v>68400</v>
      </c>
      <c r="O47" s="5">
        <f>'Raw Data'!N47</f>
        <v>15000</v>
      </c>
      <c r="P47" s="5">
        <f>IF(ISBLANK('Raw Data'!N47),AVERAGEIFS('Raw Data'!$N$2:$N$433,'Raw Data'!$G$2:$G$433,G47),'Raw Data'!N47)</f>
        <v>15000</v>
      </c>
      <c r="Q47" s="5">
        <f t="shared" si="1"/>
        <v>45000</v>
      </c>
      <c r="R47" s="5">
        <f t="shared" si="2"/>
        <v>23400</v>
      </c>
      <c r="S47" s="3" t="str">
        <f>'Raw Data'!O47</f>
        <v>No</v>
      </c>
      <c r="T47" s="3" t="str">
        <f>'Raw Data'!P47</f>
        <v>Fatima</v>
      </c>
      <c r="U47" s="3" t="str">
        <f t="shared" si="3"/>
        <v>May</v>
      </c>
      <c r="V47" s="11">
        <f t="shared" si="4"/>
        <v>0</v>
      </c>
    </row>
    <row r="48" spans="1:22" x14ac:dyDescent="0.25">
      <c r="A48" s="3">
        <f>'Raw Data'!A48</f>
        <v>100047</v>
      </c>
      <c r="B48" s="4">
        <f>'Raw Data'!B48</f>
        <v>46132</v>
      </c>
      <c r="C48" s="3" t="str">
        <f>'Raw Data'!C48</f>
        <v>LG-01</v>
      </c>
      <c r="D48" s="3" t="str">
        <f>PROPER(TRIM('Raw Data'!D48))</f>
        <v>Lagos</v>
      </c>
      <c r="E48" s="3" t="str">
        <f>'Raw Data'!E48</f>
        <v>In-store</v>
      </c>
      <c r="F48" s="3" t="str">
        <f>IF(PROPER(TRIM('Raw Data'!F48))="Accessory","Accessories",PROPER(TRIM('Raw Data'!F48)))</f>
        <v>Home</v>
      </c>
      <c r="G48" s="3" t="str">
        <f>'Raw Data'!G48</f>
        <v>Standing Fan</v>
      </c>
      <c r="H48" s="3" t="str">
        <f>'Raw Data'!H48</f>
        <v>C1179</v>
      </c>
      <c r="I48" s="3" t="str">
        <f>'Raw Data'!I48</f>
        <v>Returning</v>
      </c>
      <c r="J48" s="3">
        <f>'Raw Data'!J48</f>
        <v>4</v>
      </c>
      <c r="K48" s="5">
        <f>'Raw Data'!K48</f>
        <v>58000</v>
      </c>
      <c r="L48" s="6">
        <f>'Raw Data'!L48</f>
        <v>0</v>
      </c>
      <c r="M48" s="5">
        <f>'Raw Data'!M48</f>
        <v>232000</v>
      </c>
      <c r="N48" s="5">
        <f t="shared" si="0"/>
        <v>232000</v>
      </c>
      <c r="O48" s="5">
        <f>'Raw Data'!N48</f>
        <v>39000</v>
      </c>
      <c r="P48" s="5">
        <f>IF(ISBLANK('Raw Data'!N48),AVERAGEIFS('Raw Data'!$N$2:$N$433,'Raw Data'!$G$2:$G$433,G48),'Raw Data'!N48)</f>
        <v>39000</v>
      </c>
      <c r="Q48" s="5">
        <f t="shared" si="1"/>
        <v>156000</v>
      </c>
      <c r="R48" s="5">
        <f t="shared" si="2"/>
        <v>76000</v>
      </c>
      <c r="S48" s="3" t="str">
        <f>'Raw Data'!O48</f>
        <v>No</v>
      </c>
      <c r="T48" s="3" t="str">
        <f>'Raw Data'!P48</f>
        <v>Aisha</v>
      </c>
      <c r="U48" s="3" t="str">
        <f t="shared" si="3"/>
        <v>April</v>
      </c>
      <c r="V48" s="11">
        <f t="shared" si="4"/>
        <v>0</v>
      </c>
    </row>
    <row r="49" spans="1:22" x14ac:dyDescent="0.25">
      <c r="A49" s="3">
        <f>'Raw Data'!A49</f>
        <v>100048</v>
      </c>
      <c r="B49" s="4">
        <f>'Raw Data'!B49</f>
        <v>46039</v>
      </c>
      <c r="C49" s="3" t="str">
        <f>'Raw Data'!C49</f>
        <v>KN-01</v>
      </c>
      <c r="D49" s="3" t="str">
        <f>PROPER(TRIM('Raw Data'!D49))</f>
        <v>Kano</v>
      </c>
      <c r="E49" s="3" t="str">
        <f>'Raw Data'!E49</f>
        <v>In-store</v>
      </c>
      <c r="F49" s="3" t="str">
        <f>IF(PROPER(TRIM('Raw Data'!F49))="Accessory","Accessories",PROPER(TRIM('Raw Data'!F49)))</f>
        <v>Electronics</v>
      </c>
      <c r="G49" s="3" t="str">
        <f>'Raw Data'!G49</f>
        <v>Power Bank</v>
      </c>
      <c r="H49" s="3" t="str">
        <f>'Raw Data'!H49</f>
        <v>C1135</v>
      </c>
      <c r="I49" s="3" t="str">
        <f>'Raw Data'!I49</f>
        <v>New</v>
      </c>
      <c r="J49" s="3">
        <f>'Raw Data'!J49</f>
        <v>2</v>
      </c>
      <c r="K49" s="5">
        <f>'Raw Data'!K49</f>
        <v>26000</v>
      </c>
      <c r="L49" s="6">
        <f>'Raw Data'!L49</f>
        <v>0.05</v>
      </c>
      <c r="M49" s="5">
        <f>'Raw Data'!M49</f>
        <v>49400</v>
      </c>
      <c r="N49" s="5">
        <f t="shared" si="0"/>
        <v>49400</v>
      </c>
      <c r="O49" s="5">
        <f>'Raw Data'!N49</f>
        <v>15000</v>
      </c>
      <c r="P49" s="5">
        <f>IF(ISBLANK('Raw Data'!N49),AVERAGEIFS('Raw Data'!$N$2:$N$433,'Raw Data'!$G$2:$G$433,G49),'Raw Data'!N49)</f>
        <v>15000</v>
      </c>
      <c r="Q49" s="5">
        <f t="shared" si="1"/>
        <v>30000</v>
      </c>
      <c r="R49" s="5">
        <f t="shared" si="2"/>
        <v>19400</v>
      </c>
      <c r="S49" s="3" t="str">
        <f>'Raw Data'!O49</f>
        <v>No</v>
      </c>
      <c r="T49" s="3" t="str">
        <f>'Raw Data'!P49</f>
        <v>Grace</v>
      </c>
      <c r="U49" s="3" t="str">
        <f t="shared" si="3"/>
        <v>January</v>
      </c>
      <c r="V49" s="11">
        <f t="shared" si="4"/>
        <v>0</v>
      </c>
    </row>
    <row r="50" spans="1:22" x14ac:dyDescent="0.25">
      <c r="A50" s="3">
        <f>'Raw Data'!A50</f>
        <v>100049</v>
      </c>
      <c r="B50" s="4">
        <f>'Raw Data'!B50</f>
        <v>46182</v>
      </c>
      <c r="C50" s="3" t="str">
        <f>'Raw Data'!C50</f>
        <v>IB-01</v>
      </c>
      <c r="D50" s="3" t="str">
        <f>PROPER(TRIM('Raw Data'!D50))</f>
        <v>Ibadan</v>
      </c>
      <c r="E50" s="3" t="str">
        <f>'Raw Data'!E50</f>
        <v>In-store</v>
      </c>
      <c r="F50" s="3" t="str">
        <f>IF(PROPER(TRIM('Raw Data'!F50))="Accessory","Accessories",PROPER(TRIM('Raw Data'!F50)))</f>
        <v>Accessories</v>
      </c>
      <c r="G50" s="3" t="str">
        <f>'Raw Data'!G50</f>
        <v>USB Cable</v>
      </c>
      <c r="H50" s="3" t="str">
        <f>'Raw Data'!H50</f>
        <v>C1094</v>
      </c>
      <c r="I50" s="3" t="str">
        <f>'Raw Data'!I50</f>
        <v>New</v>
      </c>
      <c r="J50" s="3">
        <f>'Raw Data'!J50</f>
        <v>5</v>
      </c>
      <c r="K50" s="5">
        <f>'Raw Data'!K50</f>
        <v>6500</v>
      </c>
      <c r="L50" s="6">
        <f>'Raw Data'!L50</f>
        <v>0.05</v>
      </c>
      <c r="M50" s="5">
        <f>'Raw Data'!M50</f>
        <v>30875</v>
      </c>
      <c r="N50" s="5">
        <f t="shared" si="0"/>
        <v>30875</v>
      </c>
      <c r="O50" s="5">
        <f>'Raw Data'!N50</f>
        <v>2200</v>
      </c>
      <c r="P50" s="5">
        <f>IF(ISBLANK('Raw Data'!N50),AVERAGEIFS('Raw Data'!$N$2:$N$433,'Raw Data'!$G$2:$G$433,G50),'Raw Data'!N50)</f>
        <v>2200</v>
      </c>
      <c r="Q50" s="5">
        <f t="shared" si="1"/>
        <v>11000</v>
      </c>
      <c r="R50" s="5">
        <f t="shared" si="2"/>
        <v>19875</v>
      </c>
      <c r="S50" s="3" t="str">
        <f>'Raw Data'!O50</f>
        <v>No</v>
      </c>
      <c r="T50" s="3" t="str">
        <f>'Raw Data'!P50</f>
        <v>Aisha</v>
      </c>
      <c r="U50" s="3" t="str">
        <f t="shared" si="3"/>
        <v>June</v>
      </c>
      <c r="V50" s="11">
        <f t="shared" si="4"/>
        <v>0</v>
      </c>
    </row>
    <row r="51" spans="1:22" x14ac:dyDescent="0.25">
      <c r="A51" s="3">
        <f>'Raw Data'!A51</f>
        <v>100050</v>
      </c>
      <c r="B51" s="4">
        <f>'Raw Data'!B51</f>
        <v>46056</v>
      </c>
      <c r="C51" s="3" t="str">
        <f>'Raw Data'!C51</f>
        <v>KN-01</v>
      </c>
      <c r="D51" s="3" t="str">
        <f>PROPER(TRIM('Raw Data'!D51))</f>
        <v>Kano</v>
      </c>
      <c r="E51" s="3" t="str">
        <f>'Raw Data'!E51</f>
        <v>In-store</v>
      </c>
      <c r="F51" s="3" t="str">
        <f>IF(PROPER(TRIM('Raw Data'!F51))="Accessory","Accessories",PROPER(TRIM('Raw Data'!F51)))</f>
        <v>Accessories</v>
      </c>
      <c r="G51" s="3" t="str">
        <f>'Raw Data'!G51</f>
        <v>Phone Case</v>
      </c>
      <c r="H51" s="3" t="str">
        <f>'Raw Data'!H51</f>
        <v>C1080</v>
      </c>
      <c r="I51" s="3" t="str">
        <f>'Raw Data'!I51</f>
        <v>Returning</v>
      </c>
      <c r="J51" s="3">
        <f>'Raw Data'!J51</f>
        <v>3</v>
      </c>
      <c r="K51" s="5">
        <f>'Raw Data'!K51</f>
        <v>9000</v>
      </c>
      <c r="L51" s="6">
        <f>'Raw Data'!L51</f>
        <v>0</v>
      </c>
      <c r="M51" s="5">
        <f>'Raw Data'!M51</f>
        <v>27000</v>
      </c>
      <c r="N51" s="5">
        <f t="shared" si="0"/>
        <v>27000</v>
      </c>
      <c r="O51" s="5">
        <f>'Raw Data'!N51</f>
        <v>3500</v>
      </c>
      <c r="P51" s="5">
        <f>IF(ISBLANK('Raw Data'!N51),AVERAGEIFS('Raw Data'!$N$2:$N$433,'Raw Data'!$G$2:$G$433,G51),'Raw Data'!N51)</f>
        <v>3500</v>
      </c>
      <c r="Q51" s="5">
        <f t="shared" si="1"/>
        <v>10500</v>
      </c>
      <c r="R51" s="5">
        <f t="shared" si="2"/>
        <v>16500</v>
      </c>
      <c r="S51" s="3" t="str">
        <f>'Raw Data'!O51</f>
        <v>No</v>
      </c>
      <c r="T51" s="3" t="str">
        <f>'Raw Data'!P51</f>
        <v>Chinedu</v>
      </c>
      <c r="U51" s="3" t="str">
        <f t="shared" si="3"/>
        <v>February</v>
      </c>
      <c r="V51" s="11">
        <f t="shared" si="4"/>
        <v>0</v>
      </c>
    </row>
    <row r="52" spans="1:22" x14ac:dyDescent="0.25">
      <c r="A52" s="3">
        <f>'Raw Data'!A52</f>
        <v>100051</v>
      </c>
      <c r="B52" s="4">
        <f>'Raw Data'!B52</f>
        <v>46035</v>
      </c>
      <c r="C52" s="3" t="str">
        <f>'Raw Data'!C52</f>
        <v>AB-02</v>
      </c>
      <c r="D52" s="3" t="str">
        <f>PROPER(TRIM('Raw Data'!D52))</f>
        <v>Abuja</v>
      </c>
      <c r="E52" s="3" t="str">
        <f>'Raw Data'!E52</f>
        <v>Online</v>
      </c>
      <c r="F52" s="3" t="str">
        <f>IF(PROPER(TRIM('Raw Data'!F52))="Accessory","Accessories",PROPER(TRIM('Raw Data'!F52)))</f>
        <v>Home</v>
      </c>
      <c r="G52" s="3" t="str">
        <f>'Raw Data'!G52</f>
        <v>Blender</v>
      </c>
      <c r="H52" s="3" t="str">
        <f>'Raw Data'!H52</f>
        <v>C1111</v>
      </c>
      <c r="I52" s="3" t="str">
        <f>'Raw Data'!I52</f>
        <v>New</v>
      </c>
      <c r="J52" s="3">
        <f>'Raw Data'!J52</f>
        <v>2</v>
      </c>
      <c r="K52" s="5">
        <f>'Raw Data'!K52</f>
        <v>42000</v>
      </c>
      <c r="L52" s="6">
        <f>'Raw Data'!L52</f>
        <v>0.1</v>
      </c>
      <c r="M52" s="5">
        <f>'Raw Data'!M52</f>
        <v>75600</v>
      </c>
      <c r="N52" s="5">
        <f t="shared" si="0"/>
        <v>75600</v>
      </c>
      <c r="O52" s="3">
        <f>'Raw Data'!N52</f>
        <v>0</v>
      </c>
      <c r="P52" s="5">
        <f>IF(ISBLANK('Raw Data'!N52),AVERAGEIFS('Raw Data'!$N$2:$N$433,'Raw Data'!$G$2:$G$433,G52),'Raw Data'!N52)</f>
        <v>28000</v>
      </c>
      <c r="Q52" s="5">
        <f t="shared" si="1"/>
        <v>56000</v>
      </c>
      <c r="R52" s="5">
        <f t="shared" si="2"/>
        <v>19600</v>
      </c>
      <c r="S52" s="3" t="str">
        <f>'Raw Data'!O52</f>
        <v>No</v>
      </c>
      <c r="T52" s="3" t="str">
        <f>'Raw Data'!P52</f>
        <v>Chinedu</v>
      </c>
      <c r="U52" s="3" t="str">
        <f t="shared" si="3"/>
        <v>January</v>
      </c>
      <c r="V52" s="11">
        <f t="shared" si="4"/>
        <v>0</v>
      </c>
    </row>
    <row r="53" spans="1:22" x14ac:dyDescent="0.25">
      <c r="A53" s="3">
        <f>'Raw Data'!A53</f>
        <v>100052</v>
      </c>
      <c r="B53" s="4">
        <f>'Raw Data'!B53</f>
        <v>46033</v>
      </c>
      <c r="C53" s="3" t="str">
        <f>'Raw Data'!C53</f>
        <v>PH-01</v>
      </c>
      <c r="D53" s="3" t="str">
        <f>PROPER(TRIM('Raw Data'!D53))</f>
        <v>Port Harcourt</v>
      </c>
      <c r="E53" s="3" t="str">
        <f>'Raw Data'!E53</f>
        <v>WhatsApp</v>
      </c>
      <c r="F53" s="3" t="str">
        <f>IF(PROPER(TRIM('Raw Data'!F53))="Accessory","Accessories",PROPER(TRIM('Raw Data'!F53)))</f>
        <v>Electronics</v>
      </c>
      <c r="G53" s="3" t="str">
        <f>'Raw Data'!G53</f>
        <v>Smartphone</v>
      </c>
      <c r="H53" s="3" t="str">
        <f>'Raw Data'!H53</f>
        <v>C1005</v>
      </c>
      <c r="I53" s="3" t="str">
        <f>'Raw Data'!I53</f>
        <v>Returning</v>
      </c>
      <c r="J53" s="3">
        <f>'Raw Data'!J53</f>
        <v>4</v>
      </c>
      <c r="K53" s="5">
        <f>'Raw Data'!K53</f>
        <v>165000</v>
      </c>
      <c r="L53" s="6">
        <f>'Raw Data'!L53</f>
        <v>0</v>
      </c>
      <c r="M53" s="5">
        <f>'Raw Data'!M53</f>
        <v>660000</v>
      </c>
      <c r="N53" s="5">
        <f t="shared" si="0"/>
        <v>660000</v>
      </c>
      <c r="O53" s="5">
        <f>'Raw Data'!N53</f>
        <v>112000</v>
      </c>
      <c r="P53" s="5">
        <f>IF(ISBLANK('Raw Data'!N53),AVERAGEIFS('Raw Data'!$N$2:$N$433,'Raw Data'!$G$2:$G$433,G53),'Raw Data'!N53)</f>
        <v>112000</v>
      </c>
      <c r="Q53" s="5">
        <f t="shared" si="1"/>
        <v>448000</v>
      </c>
      <c r="R53" s="5">
        <f t="shared" si="2"/>
        <v>212000</v>
      </c>
      <c r="S53" s="3" t="str">
        <f>'Raw Data'!O53</f>
        <v>No</v>
      </c>
      <c r="T53" s="3" t="str">
        <f>'Raw Data'!P53</f>
        <v>Chinedu</v>
      </c>
      <c r="U53" s="3" t="str">
        <f t="shared" si="3"/>
        <v>January</v>
      </c>
      <c r="V53" s="11">
        <f t="shared" si="4"/>
        <v>0</v>
      </c>
    </row>
    <row r="54" spans="1:22" x14ac:dyDescent="0.25">
      <c r="A54" s="3">
        <f>'Raw Data'!A54</f>
        <v>100053</v>
      </c>
      <c r="B54" s="4">
        <f>'Raw Data'!B54</f>
        <v>46180</v>
      </c>
      <c r="C54" s="3" t="str">
        <f>'Raw Data'!C54</f>
        <v>KN-01</v>
      </c>
      <c r="D54" s="3" t="str">
        <f>PROPER(TRIM('Raw Data'!D54))</f>
        <v>Kano</v>
      </c>
      <c r="E54" s="3" t="str">
        <f>'Raw Data'!E54</f>
        <v>In-store</v>
      </c>
      <c r="F54" s="3" t="str">
        <f>IF(PROPER(TRIM('Raw Data'!F54))="Accessory","Accessories",PROPER(TRIM('Raw Data'!F54)))</f>
        <v>Accessories</v>
      </c>
      <c r="G54" s="3" t="str">
        <f>'Raw Data'!G54</f>
        <v>USB Cable</v>
      </c>
      <c r="H54" s="3" t="str">
        <f>'Raw Data'!H54</f>
        <v>C1193</v>
      </c>
      <c r="I54" s="3" t="str">
        <f>'Raw Data'!I54</f>
        <v>Returning</v>
      </c>
      <c r="J54" s="3">
        <f>'Raw Data'!J54</f>
        <v>4</v>
      </c>
      <c r="K54" s="5">
        <f>'Raw Data'!K54</f>
        <v>6500</v>
      </c>
      <c r="L54" s="6">
        <f>'Raw Data'!L54</f>
        <v>0</v>
      </c>
      <c r="M54" s="5">
        <f>'Raw Data'!M54</f>
        <v>26000</v>
      </c>
      <c r="N54" s="5">
        <f t="shared" si="0"/>
        <v>26000</v>
      </c>
      <c r="O54" s="5">
        <f>'Raw Data'!N54</f>
        <v>2200</v>
      </c>
      <c r="P54" s="5">
        <f>IF(ISBLANK('Raw Data'!N54),AVERAGEIFS('Raw Data'!$N$2:$N$433,'Raw Data'!$G$2:$G$433,G54),'Raw Data'!N54)</f>
        <v>2200</v>
      </c>
      <c r="Q54" s="5">
        <f t="shared" si="1"/>
        <v>8800</v>
      </c>
      <c r="R54" s="5">
        <f t="shared" si="2"/>
        <v>17200</v>
      </c>
      <c r="S54" s="3" t="str">
        <f>'Raw Data'!O54</f>
        <v>No</v>
      </c>
      <c r="T54" s="3" t="str">
        <f>'Raw Data'!P54</f>
        <v>Ibrahim</v>
      </c>
      <c r="U54" s="3" t="str">
        <f t="shared" si="3"/>
        <v>June</v>
      </c>
      <c r="V54" s="11">
        <f t="shared" si="4"/>
        <v>0</v>
      </c>
    </row>
    <row r="55" spans="1:22" x14ac:dyDescent="0.25">
      <c r="A55" s="3">
        <f>'Raw Data'!A55</f>
        <v>100054</v>
      </c>
      <c r="B55" s="4">
        <f>'Raw Data'!B55</f>
        <v>46140</v>
      </c>
      <c r="C55" s="3" t="str">
        <f>'Raw Data'!C55</f>
        <v>AB-01</v>
      </c>
      <c r="D55" s="3" t="str">
        <f>PROPER(TRIM('Raw Data'!D55))</f>
        <v>Abuja</v>
      </c>
      <c r="E55" s="3" t="str">
        <f>'Raw Data'!E55</f>
        <v>In-store</v>
      </c>
      <c r="F55" s="3" t="str">
        <f>IF(PROPER(TRIM('Raw Data'!F55))="Accessory","Accessories",PROPER(TRIM('Raw Data'!F55)))</f>
        <v>Accessories</v>
      </c>
      <c r="G55" s="3" t="str">
        <f>'Raw Data'!G55</f>
        <v>Phone Case</v>
      </c>
      <c r="H55" s="3" t="str">
        <f>'Raw Data'!H55</f>
        <v>C1030</v>
      </c>
      <c r="I55" s="3" t="str">
        <f>'Raw Data'!I55</f>
        <v>Returning</v>
      </c>
      <c r="J55" s="3">
        <f>'Raw Data'!J55</f>
        <v>1</v>
      </c>
      <c r="K55" s="5">
        <f>'Raw Data'!K55</f>
        <v>9000</v>
      </c>
      <c r="L55" s="6">
        <f>'Raw Data'!L55</f>
        <v>0.1</v>
      </c>
      <c r="M55" s="5">
        <f>'Raw Data'!M55</f>
        <v>8100</v>
      </c>
      <c r="N55" s="5">
        <f t="shared" si="0"/>
        <v>8100</v>
      </c>
      <c r="O55" s="5">
        <f>'Raw Data'!N55</f>
        <v>3500</v>
      </c>
      <c r="P55" s="5">
        <f>IF(ISBLANK('Raw Data'!N55),AVERAGEIFS('Raw Data'!$N$2:$N$433,'Raw Data'!$G$2:$G$433,G55),'Raw Data'!N55)</f>
        <v>3500</v>
      </c>
      <c r="Q55" s="5">
        <f t="shared" si="1"/>
        <v>3500</v>
      </c>
      <c r="R55" s="5">
        <f t="shared" si="2"/>
        <v>4600</v>
      </c>
      <c r="S55" s="3" t="str">
        <f>'Raw Data'!O55</f>
        <v>No</v>
      </c>
      <c r="T55" s="3" t="str">
        <f>'Raw Data'!P55</f>
        <v>Aisha</v>
      </c>
      <c r="U55" s="3" t="str">
        <f t="shared" si="3"/>
        <v>April</v>
      </c>
      <c r="V55" s="11">
        <f t="shared" si="4"/>
        <v>0</v>
      </c>
    </row>
    <row r="56" spans="1:22" x14ac:dyDescent="0.25">
      <c r="A56" s="3">
        <f>'Raw Data'!A56</f>
        <v>100055</v>
      </c>
      <c r="B56" s="4">
        <f>'Raw Data'!B56</f>
        <v>46178</v>
      </c>
      <c r="C56" s="3" t="str">
        <f>'Raw Data'!C56</f>
        <v>KN-01</v>
      </c>
      <c r="D56" s="3" t="str">
        <f>PROPER(TRIM('Raw Data'!D56))</f>
        <v>Kano</v>
      </c>
      <c r="E56" s="3" t="str">
        <f>'Raw Data'!E56</f>
        <v>In-store</v>
      </c>
      <c r="F56" s="3" t="str">
        <f>IF(PROPER(TRIM('Raw Data'!F56))="Accessory","Accessories",PROPER(TRIM('Raw Data'!F56)))</f>
        <v>Electronics</v>
      </c>
      <c r="G56" s="3" t="str">
        <f>'Raw Data'!G56</f>
        <v>Power Bank</v>
      </c>
      <c r="H56" s="3" t="str">
        <f>'Raw Data'!H56</f>
        <v>C1019</v>
      </c>
      <c r="I56" s="3" t="str">
        <f>'Raw Data'!I56</f>
        <v>New</v>
      </c>
      <c r="J56" s="3">
        <f>'Raw Data'!J56</f>
        <v>2</v>
      </c>
      <c r="K56" s="5">
        <f>'Raw Data'!K56</f>
        <v>26000</v>
      </c>
      <c r="L56" s="6">
        <f>'Raw Data'!L56</f>
        <v>0.15</v>
      </c>
      <c r="M56" s="5">
        <f>'Raw Data'!M56</f>
        <v>44200</v>
      </c>
      <c r="N56" s="5">
        <f t="shared" si="0"/>
        <v>44200</v>
      </c>
      <c r="O56" s="5">
        <f>'Raw Data'!N56</f>
        <v>15000</v>
      </c>
      <c r="P56" s="5">
        <f>IF(ISBLANK('Raw Data'!N56),AVERAGEIFS('Raw Data'!$N$2:$N$433,'Raw Data'!$G$2:$G$433,G56),'Raw Data'!N56)</f>
        <v>15000</v>
      </c>
      <c r="Q56" s="5">
        <f t="shared" si="1"/>
        <v>30000</v>
      </c>
      <c r="R56" s="5">
        <f t="shared" si="2"/>
        <v>14200</v>
      </c>
      <c r="S56" s="3" t="str">
        <f>'Raw Data'!O56</f>
        <v>No</v>
      </c>
      <c r="T56" s="3" t="str">
        <f>'Raw Data'!P56</f>
        <v>Bola</v>
      </c>
      <c r="U56" s="3" t="str">
        <f t="shared" si="3"/>
        <v>June</v>
      </c>
      <c r="V56" s="11">
        <f t="shared" si="4"/>
        <v>0</v>
      </c>
    </row>
    <row r="57" spans="1:22" x14ac:dyDescent="0.25">
      <c r="A57" s="3">
        <f>'Raw Data'!A57</f>
        <v>100056</v>
      </c>
      <c r="B57" s="4">
        <f>'Raw Data'!B57</f>
        <v>46191</v>
      </c>
      <c r="C57" s="3" t="str">
        <f>'Raw Data'!C57</f>
        <v>KN-01</v>
      </c>
      <c r="D57" s="3" t="str">
        <f>PROPER(TRIM('Raw Data'!D57))</f>
        <v>Kano</v>
      </c>
      <c r="E57" s="3" t="str">
        <f>'Raw Data'!E57</f>
        <v>In-store</v>
      </c>
      <c r="F57" s="3" t="str">
        <f>IF(PROPER(TRIM('Raw Data'!F57))="Accessory","Accessories",PROPER(TRIM('Raw Data'!F57)))</f>
        <v>Accessories</v>
      </c>
      <c r="G57" s="3" t="str">
        <f>'Raw Data'!G57</f>
        <v>Phone Case</v>
      </c>
      <c r="H57" s="3" t="str">
        <f>'Raw Data'!H57</f>
        <v>C1187</v>
      </c>
      <c r="I57" s="3" t="str">
        <f>'Raw Data'!I57</f>
        <v>New</v>
      </c>
      <c r="J57" s="3">
        <f>'Raw Data'!J57</f>
        <v>1</v>
      </c>
      <c r="K57" s="5">
        <f>'Raw Data'!K57</f>
        <v>9000</v>
      </c>
      <c r="L57" s="6">
        <f>'Raw Data'!L57</f>
        <v>0.05</v>
      </c>
      <c r="M57" s="5">
        <f>'Raw Data'!M57</f>
        <v>6840</v>
      </c>
      <c r="N57" s="5">
        <f t="shared" si="0"/>
        <v>8550</v>
      </c>
      <c r="O57" s="5">
        <f>'Raw Data'!N57</f>
        <v>3500</v>
      </c>
      <c r="P57" s="5">
        <f>IF(ISBLANK('Raw Data'!N57),AVERAGEIFS('Raw Data'!$N$2:$N$433,'Raw Data'!$G$2:$G$433,G57),'Raw Data'!N57)</f>
        <v>3500</v>
      </c>
      <c r="Q57" s="5">
        <f t="shared" si="1"/>
        <v>3500</v>
      </c>
      <c r="R57" s="5">
        <f t="shared" si="2"/>
        <v>5050</v>
      </c>
      <c r="S57" s="3" t="str">
        <f>'Raw Data'!O57</f>
        <v>No</v>
      </c>
      <c r="T57" s="3" t="str">
        <f>'Raw Data'!P57</f>
        <v>Bola</v>
      </c>
      <c r="U57" s="3" t="str">
        <f t="shared" si="3"/>
        <v>June</v>
      </c>
      <c r="V57" s="11">
        <f t="shared" si="4"/>
        <v>0</v>
      </c>
    </row>
    <row r="58" spans="1:22" x14ac:dyDescent="0.25">
      <c r="A58" s="3">
        <f>'Raw Data'!A58</f>
        <v>100057</v>
      </c>
      <c r="B58" s="4">
        <f>'Raw Data'!B58</f>
        <v>46196</v>
      </c>
      <c r="C58" s="3" t="str">
        <f>'Raw Data'!C58</f>
        <v>IB-01</v>
      </c>
      <c r="D58" s="3" t="str">
        <f>PROPER(TRIM('Raw Data'!D58))</f>
        <v>Ibadan</v>
      </c>
      <c r="E58" s="3" t="str">
        <f>'Raw Data'!E58</f>
        <v>Online</v>
      </c>
      <c r="F58" s="3" t="str">
        <f>IF(PROPER(TRIM('Raw Data'!F58))="Accessory","Accessories",PROPER(TRIM('Raw Data'!F58)))</f>
        <v>Electronics</v>
      </c>
      <c r="G58" s="3" t="str">
        <f>'Raw Data'!G58</f>
        <v>Power Bank</v>
      </c>
      <c r="H58" s="3" t="str">
        <f>'Raw Data'!H58</f>
        <v>C1190</v>
      </c>
      <c r="I58" s="3" t="str">
        <f>'Raw Data'!I58</f>
        <v>New</v>
      </c>
      <c r="J58" s="3">
        <f>'Raw Data'!J58</f>
        <v>1</v>
      </c>
      <c r="K58" s="5">
        <f>'Raw Data'!K58</f>
        <v>26000</v>
      </c>
      <c r="L58" s="6">
        <f>'Raw Data'!L58</f>
        <v>0.15</v>
      </c>
      <c r="M58" s="5">
        <f>'Raw Data'!M58</f>
        <v>22100</v>
      </c>
      <c r="N58" s="5">
        <f t="shared" si="0"/>
        <v>22100</v>
      </c>
      <c r="O58" s="5">
        <f>'Raw Data'!N58</f>
        <v>15000</v>
      </c>
      <c r="P58" s="5">
        <f>IF(ISBLANK('Raw Data'!N58),AVERAGEIFS('Raw Data'!$N$2:$N$433,'Raw Data'!$G$2:$G$433,G58),'Raw Data'!N58)</f>
        <v>15000</v>
      </c>
      <c r="Q58" s="5">
        <f t="shared" si="1"/>
        <v>15000</v>
      </c>
      <c r="R58" s="5">
        <f t="shared" si="2"/>
        <v>7100</v>
      </c>
      <c r="S58" s="3" t="str">
        <f>'Raw Data'!O58</f>
        <v>No</v>
      </c>
      <c r="T58" s="3" t="str">
        <f>'Raw Data'!P58</f>
        <v>Fatima</v>
      </c>
      <c r="U58" s="3" t="str">
        <f t="shared" si="3"/>
        <v>June</v>
      </c>
      <c r="V58" s="11">
        <f t="shared" si="4"/>
        <v>0</v>
      </c>
    </row>
    <row r="59" spans="1:22" x14ac:dyDescent="0.25">
      <c r="A59" s="3">
        <f>'Raw Data'!A59</f>
        <v>100058</v>
      </c>
      <c r="B59" s="4">
        <f>'Raw Data'!B59</f>
        <v>46140</v>
      </c>
      <c r="C59" s="3" t="str">
        <f>'Raw Data'!C59</f>
        <v>KN-01</v>
      </c>
      <c r="D59" s="3" t="str">
        <f>PROPER(TRIM('Raw Data'!D59))</f>
        <v>Kano</v>
      </c>
      <c r="E59" s="3" t="str">
        <f>'Raw Data'!E59</f>
        <v>In-store</v>
      </c>
      <c r="F59" s="3" t="str">
        <f>IF(PROPER(TRIM('Raw Data'!F59))="Accessory","Accessories",PROPER(TRIM('Raw Data'!F59)))</f>
        <v>Accessories</v>
      </c>
      <c r="G59" s="3" t="str">
        <f>'Raw Data'!G59</f>
        <v>Backpack</v>
      </c>
      <c r="H59" s="3" t="str">
        <f>'Raw Data'!H59</f>
        <v>C1069</v>
      </c>
      <c r="I59" s="3" t="str">
        <f>'Raw Data'!I59</f>
        <v>Returning</v>
      </c>
      <c r="J59" s="3">
        <f>'Raw Data'!J59</f>
        <v>2</v>
      </c>
      <c r="K59" s="5">
        <f>'Raw Data'!K59</f>
        <v>28000</v>
      </c>
      <c r="L59" s="6">
        <f>'Raw Data'!L59</f>
        <v>0</v>
      </c>
      <c r="M59" s="5">
        <f>'Raw Data'!M59</f>
        <v>56000</v>
      </c>
      <c r="N59" s="5">
        <f t="shared" si="0"/>
        <v>56000</v>
      </c>
      <c r="O59" s="5">
        <f>'Raw Data'!N59</f>
        <v>16000</v>
      </c>
      <c r="P59" s="5">
        <f>IF(ISBLANK('Raw Data'!N59),AVERAGEIFS('Raw Data'!$N$2:$N$433,'Raw Data'!$G$2:$G$433,G59),'Raw Data'!N59)</f>
        <v>16000</v>
      </c>
      <c r="Q59" s="5">
        <f t="shared" si="1"/>
        <v>32000</v>
      </c>
      <c r="R59" s="5">
        <f t="shared" si="2"/>
        <v>24000</v>
      </c>
      <c r="S59" s="3" t="str">
        <f>'Raw Data'!O59</f>
        <v>No</v>
      </c>
      <c r="T59" s="3" t="str">
        <f>'Raw Data'!P59</f>
        <v>Aisha</v>
      </c>
      <c r="U59" s="3" t="str">
        <f t="shared" si="3"/>
        <v>April</v>
      </c>
      <c r="V59" s="11">
        <f t="shared" si="4"/>
        <v>0</v>
      </c>
    </row>
    <row r="60" spans="1:22" x14ac:dyDescent="0.25">
      <c r="A60" s="3">
        <f>'Raw Data'!A60</f>
        <v>100059</v>
      </c>
      <c r="B60" s="4">
        <f>'Raw Data'!B60</f>
        <v>46039</v>
      </c>
      <c r="C60" s="3" t="str">
        <f>'Raw Data'!C60</f>
        <v>LG-02</v>
      </c>
      <c r="D60" s="3" t="str">
        <f>PROPER(TRIM('Raw Data'!D60))</f>
        <v>Lagos</v>
      </c>
      <c r="E60" s="3" t="str">
        <f>'Raw Data'!E60</f>
        <v>Online</v>
      </c>
      <c r="F60" s="3" t="str">
        <f>IF(PROPER(TRIM('Raw Data'!F60))="Accessory","Accessories",PROPER(TRIM('Raw Data'!F60)))</f>
        <v>Home</v>
      </c>
      <c r="G60" s="3" t="str">
        <f>'Raw Data'!G60</f>
        <v>Blender</v>
      </c>
      <c r="H60" s="3" t="str">
        <f>'Raw Data'!H60</f>
        <v>C1074</v>
      </c>
      <c r="I60" s="3" t="str">
        <f>'Raw Data'!I60</f>
        <v>Returning</v>
      </c>
      <c r="J60" s="3">
        <f>'Raw Data'!J60</f>
        <v>2</v>
      </c>
      <c r="K60" s="5">
        <f>'Raw Data'!K60</f>
        <v>42000</v>
      </c>
      <c r="L60" s="6">
        <f>'Raw Data'!L60</f>
        <v>0.1</v>
      </c>
      <c r="M60" s="5">
        <f>'Raw Data'!M60</f>
        <v>75600</v>
      </c>
      <c r="N60" s="5">
        <f t="shared" si="0"/>
        <v>75600</v>
      </c>
      <c r="O60" s="5">
        <f>'Raw Data'!N60</f>
        <v>28000</v>
      </c>
      <c r="P60" s="5">
        <f>IF(ISBLANK('Raw Data'!N60),AVERAGEIFS('Raw Data'!$N$2:$N$433,'Raw Data'!$G$2:$G$433,G60),'Raw Data'!N60)</f>
        <v>28000</v>
      </c>
      <c r="Q60" s="5">
        <f t="shared" si="1"/>
        <v>56000</v>
      </c>
      <c r="R60" s="5">
        <f t="shared" si="2"/>
        <v>19600</v>
      </c>
      <c r="S60" s="3" t="str">
        <f>'Raw Data'!O60</f>
        <v>No</v>
      </c>
      <c r="T60" s="3" t="str">
        <f>'Raw Data'!P60</f>
        <v>Aisha</v>
      </c>
      <c r="U60" s="3" t="str">
        <f t="shared" si="3"/>
        <v>January</v>
      </c>
      <c r="V60" s="11">
        <f t="shared" si="4"/>
        <v>0</v>
      </c>
    </row>
    <row r="61" spans="1:22" x14ac:dyDescent="0.25">
      <c r="A61" s="3">
        <f>'Raw Data'!A61</f>
        <v>100060</v>
      </c>
      <c r="B61" s="4">
        <f>'Raw Data'!B61</f>
        <v>46046</v>
      </c>
      <c r="C61" s="3" t="str">
        <f>'Raw Data'!C61</f>
        <v>IB-01</v>
      </c>
      <c r="D61" s="3" t="str">
        <f>PROPER(TRIM('Raw Data'!D61))</f>
        <v>Ibadan</v>
      </c>
      <c r="E61" s="3" t="str">
        <f>'Raw Data'!E61</f>
        <v>Online</v>
      </c>
      <c r="F61" s="3" t="str">
        <f>IF(PROPER(TRIM('Raw Data'!F61))="Accessory","Accessories",PROPER(TRIM('Raw Data'!F61)))</f>
        <v>Electronics</v>
      </c>
      <c r="G61" s="3" t="str">
        <f>'Raw Data'!G61</f>
        <v>Earbuds</v>
      </c>
      <c r="H61" s="3" t="str">
        <f>'Raw Data'!H61</f>
        <v>C1156</v>
      </c>
      <c r="I61" s="3" t="str">
        <f>'Raw Data'!I61</f>
        <v>Returning</v>
      </c>
      <c r="J61" s="3">
        <f>'Raw Data'!J61</f>
        <v>1</v>
      </c>
      <c r="K61" s="5">
        <f>'Raw Data'!K61</f>
        <v>32000</v>
      </c>
      <c r="L61" s="6">
        <f>'Raw Data'!L61</f>
        <v>0.1</v>
      </c>
      <c r="M61" s="5">
        <f>'Raw Data'!M61</f>
        <v>28800</v>
      </c>
      <c r="N61" s="5">
        <f t="shared" si="0"/>
        <v>28800</v>
      </c>
      <c r="O61" s="5">
        <f>'Raw Data'!N61</f>
        <v>19000</v>
      </c>
      <c r="P61" s="5">
        <f>IF(ISBLANK('Raw Data'!N61),AVERAGEIFS('Raw Data'!$N$2:$N$433,'Raw Data'!$G$2:$G$433,G61),'Raw Data'!N61)</f>
        <v>19000</v>
      </c>
      <c r="Q61" s="5">
        <f t="shared" si="1"/>
        <v>19000</v>
      </c>
      <c r="R61" s="5">
        <f t="shared" si="2"/>
        <v>9800</v>
      </c>
      <c r="S61" s="3" t="str">
        <f>'Raw Data'!O61</f>
        <v>No</v>
      </c>
      <c r="T61" s="3" t="str">
        <f>'Raw Data'!P61</f>
        <v>Bola</v>
      </c>
      <c r="U61" s="3" t="str">
        <f t="shared" si="3"/>
        <v>January</v>
      </c>
      <c r="V61" s="11">
        <f t="shared" si="4"/>
        <v>0</v>
      </c>
    </row>
    <row r="62" spans="1:22" x14ac:dyDescent="0.25">
      <c r="A62" s="3">
        <f>'Raw Data'!A62</f>
        <v>100061</v>
      </c>
      <c r="B62" s="4">
        <f>'Raw Data'!B62</f>
        <v>46251</v>
      </c>
      <c r="C62" s="3" t="str">
        <f>'Raw Data'!C62</f>
        <v>LG-02</v>
      </c>
      <c r="D62" s="3" t="str">
        <f>PROPER(TRIM('Raw Data'!D62))</f>
        <v>Lagos</v>
      </c>
      <c r="E62" s="3" t="str">
        <f>'Raw Data'!E62</f>
        <v>In-store</v>
      </c>
      <c r="F62" s="3" t="str">
        <f>IF(PROPER(TRIM('Raw Data'!F62))="Accessory","Accessories",PROPER(TRIM('Raw Data'!F62)))</f>
        <v>Electronics</v>
      </c>
      <c r="G62" s="3" t="str">
        <f>'Raw Data'!G62</f>
        <v>Earbuds</v>
      </c>
      <c r="H62" s="3" t="str">
        <f>'Raw Data'!H62</f>
        <v>C1039</v>
      </c>
      <c r="I62" s="3" t="str">
        <f>'Raw Data'!I62</f>
        <v>Returning</v>
      </c>
      <c r="J62" s="3">
        <f>'Raw Data'!J62</f>
        <v>1</v>
      </c>
      <c r="K62" s="5">
        <f>'Raw Data'!K62</f>
        <v>32000</v>
      </c>
      <c r="L62" s="6">
        <f>'Raw Data'!L62</f>
        <v>0.15</v>
      </c>
      <c r="M62" s="5">
        <f>'Raw Data'!M62</f>
        <v>27200</v>
      </c>
      <c r="N62" s="5">
        <f t="shared" si="0"/>
        <v>27200</v>
      </c>
      <c r="O62" s="5">
        <f>'Raw Data'!N62</f>
        <v>19000</v>
      </c>
      <c r="P62" s="5">
        <f>IF(ISBLANK('Raw Data'!N62),AVERAGEIFS('Raw Data'!$N$2:$N$433,'Raw Data'!$G$2:$G$433,G62),'Raw Data'!N62)</f>
        <v>19000</v>
      </c>
      <c r="Q62" s="5">
        <f t="shared" si="1"/>
        <v>19000</v>
      </c>
      <c r="R62" s="5">
        <f t="shared" si="2"/>
        <v>8200</v>
      </c>
      <c r="S62" s="3" t="str">
        <f>'Raw Data'!O62</f>
        <v>No</v>
      </c>
      <c r="T62" s="3" t="str">
        <f>'Raw Data'!P62</f>
        <v>Aisha</v>
      </c>
      <c r="U62" s="3" t="str">
        <f t="shared" si="3"/>
        <v>August</v>
      </c>
      <c r="V62" s="11">
        <f t="shared" si="4"/>
        <v>0</v>
      </c>
    </row>
    <row r="63" spans="1:22" x14ac:dyDescent="0.25">
      <c r="A63" s="3">
        <f>'Raw Data'!A63</f>
        <v>100062</v>
      </c>
      <c r="B63" s="4">
        <f>'Raw Data'!B63</f>
        <v>46161</v>
      </c>
      <c r="C63" s="3" t="str">
        <f>'Raw Data'!C63</f>
        <v>PH-01</v>
      </c>
      <c r="D63" s="3" t="str">
        <f>PROPER(TRIM('Raw Data'!D63))</f>
        <v>Port Harcourt</v>
      </c>
      <c r="E63" s="3" t="str">
        <f>'Raw Data'!E63</f>
        <v>Online</v>
      </c>
      <c r="F63" s="3" t="str">
        <f>IF(PROPER(TRIM('Raw Data'!F63))="Accessory","Accessories",PROPER(TRIM('Raw Data'!F63)))</f>
        <v>Electronics</v>
      </c>
      <c r="G63" s="3" t="str">
        <f>'Raw Data'!G63</f>
        <v>Smartphone</v>
      </c>
      <c r="H63" s="3" t="str">
        <f>'Raw Data'!H63</f>
        <v>C1045</v>
      </c>
      <c r="I63" s="3" t="str">
        <f>'Raw Data'!I63</f>
        <v>New</v>
      </c>
      <c r="J63" s="3">
        <f>'Raw Data'!J63</f>
        <v>3</v>
      </c>
      <c r="K63" s="5">
        <f>'Raw Data'!K63</f>
        <v>165000</v>
      </c>
      <c r="L63" s="6">
        <f>'Raw Data'!L63</f>
        <v>0</v>
      </c>
      <c r="M63" s="5">
        <f>'Raw Data'!M63</f>
        <v>495000</v>
      </c>
      <c r="N63" s="5">
        <f t="shared" si="0"/>
        <v>495000</v>
      </c>
      <c r="O63" s="5">
        <f>'Raw Data'!N63</f>
        <v>112000</v>
      </c>
      <c r="P63" s="5">
        <f>IF(ISBLANK('Raw Data'!N63),AVERAGEIFS('Raw Data'!$N$2:$N$433,'Raw Data'!$G$2:$G$433,G63),'Raw Data'!N63)</f>
        <v>112000</v>
      </c>
      <c r="Q63" s="5">
        <f t="shared" si="1"/>
        <v>336000</v>
      </c>
      <c r="R63" s="5">
        <f t="shared" si="2"/>
        <v>159000</v>
      </c>
      <c r="S63" s="3" t="str">
        <f>'Raw Data'!O63</f>
        <v>No</v>
      </c>
      <c r="T63" s="3" t="str">
        <f>'Raw Data'!P63</f>
        <v>Aisha</v>
      </c>
      <c r="U63" s="3" t="str">
        <f t="shared" si="3"/>
        <v>May</v>
      </c>
      <c r="V63" s="11">
        <f t="shared" si="4"/>
        <v>0</v>
      </c>
    </row>
    <row r="64" spans="1:22" x14ac:dyDescent="0.25">
      <c r="A64" s="3">
        <f>'Raw Data'!A64</f>
        <v>100063</v>
      </c>
      <c r="B64" s="4">
        <f>'Raw Data'!B64</f>
        <v>46114</v>
      </c>
      <c r="C64" s="3" t="str">
        <f>'Raw Data'!C64</f>
        <v>LG-02</v>
      </c>
      <c r="D64" s="3" t="str">
        <f>PROPER(TRIM('Raw Data'!D64))</f>
        <v>Lagos</v>
      </c>
      <c r="E64" s="3" t="str">
        <f>'Raw Data'!E64</f>
        <v>In-store</v>
      </c>
      <c r="F64" s="3" t="str">
        <f>IF(PROPER(TRIM('Raw Data'!F64))="Accessory","Accessories",PROPER(TRIM('Raw Data'!F64)))</f>
        <v>Home</v>
      </c>
      <c r="G64" s="3" t="str">
        <f>'Raw Data'!G64</f>
        <v>Standing Fan</v>
      </c>
      <c r="H64" s="3" t="str">
        <f>'Raw Data'!H64</f>
        <v>C1164</v>
      </c>
      <c r="I64" s="3" t="str">
        <f>'Raw Data'!I64</f>
        <v>New</v>
      </c>
      <c r="J64" s="3">
        <f>'Raw Data'!J64</f>
        <v>1</v>
      </c>
      <c r="K64" s="5">
        <f>'Raw Data'!K64</f>
        <v>58000</v>
      </c>
      <c r="L64" s="6">
        <f>'Raw Data'!L64</f>
        <v>0</v>
      </c>
      <c r="M64" s="5">
        <f>'Raw Data'!M64</f>
        <v>58000</v>
      </c>
      <c r="N64" s="5">
        <f t="shared" si="0"/>
        <v>58000</v>
      </c>
      <c r="O64" s="5">
        <f>'Raw Data'!N64</f>
        <v>39000</v>
      </c>
      <c r="P64" s="5">
        <f>IF(ISBLANK('Raw Data'!N64),AVERAGEIFS('Raw Data'!$N$2:$N$433,'Raw Data'!$G$2:$G$433,G64),'Raw Data'!N64)</f>
        <v>39000</v>
      </c>
      <c r="Q64" s="5">
        <f t="shared" si="1"/>
        <v>39000</v>
      </c>
      <c r="R64" s="5">
        <f t="shared" si="2"/>
        <v>19000</v>
      </c>
      <c r="S64" s="3" t="str">
        <f>'Raw Data'!O64</f>
        <v>No</v>
      </c>
      <c r="T64" s="3" t="str">
        <f>'Raw Data'!P64</f>
        <v>Fatima</v>
      </c>
      <c r="U64" s="3" t="str">
        <f t="shared" si="3"/>
        <v>April</v>
      </c>
      <c r="V64" s="11">
        <f t="shared" si="4"/>
        <v>0</v>
      </c>
    </row>
    <row r="65" spans="1:22" x14ac:dyDescent="0.25">
      <c r="A65" s="3">
        <f>'Raw Data'!A65</f>
        <v>100064</v>
      </c>
      <c r="B65" s="4">
        <f>'Raw Data'!B65</f>
        <v>46224</v>
      </c>
      <c r="C65" s="3" t="str">
        <f>'Raw Data'!C65</f>
        <v>LG-01</v>
      </c>
      <c r="D65" s="3" t="str">
        <f>PROPER(TRIM('Raw Data'!D65))</f>
        <v>Lagos</v>
      </c>
      <c r="E65" s="3" t="str">
        <f>'Raw Data'!E65</f>
        <v>WhatsApp</v>
      </c>
      <c r="F65" s="3" t="str">
        <f>IF(PROPER(TRIM('Raw Data'!F65))="Accessory","Accessories",PROPER(TRIM('Raw Data'!F65)))</f>
        <v>Home</v>
      </c>
      <c r="G65" s="3" t="str">
        <f>'Raw Data'!G65</f>
        <v>Electric Kettle</v>
      </c>
      <c r="H65" s="3" t="str">
        <f>'Raw Data'!H65</f>
        <v>C1179</v>
      </c>
      <c r="I65" s="3" t="str">
        <f>'Raw Data'!I65</f>
        <v>New</v>
      </c>
      <c r="J65" s="3">
        <f>'Raw Data'!J65</f>
        <v>1</v>
      </c>
      <c r="K65" s="5">
        <f>'Raw Data'!K65</f>
        <v>24000</v>
      </c>
      <c r="L65" s="6">
        <f>'Raw Data'!L65</f>
        <v>0.05</v>
      </c>
      <c r="M65" s="5">
        <f>'Raw Data'!M65</f>
        <v>22800</v>
      </c>
      <c r="N65" s="5">
        <f t="shared" si="0"/>
        <v>22800</v>
      </c>
      <c r="O65" s="5">
        <f>'Raw Data'!N65</f>
        <v>15000</v>
      </c>
      <c r="P65" s="5">
        <f>IF(ISBLANK('Raw Data'!N65),AVERAGEIFS('Raw Data'!$N$2:$N$433,'Raw Data'!$G$2:$G$433,G65),'Raw Data'!N65)</f>
        <v>15000</v>
      </c>
      <c r="Q65" s="5">
        <f t="shared" si="1"/>
        <v>15000</v>
      </c>
      <c r="R65" s="5">
        <f t="shared" si="2"/>
        <v>7800</v>
      </c>
      <c r="S65" s="3" t="str">
        <f>'Raw Data'!O65</f>
        <v>No</v>
      </c>
      <c r="T65" s="3" t="str">
        <f>'Raw Data'!P65</f>
        <v>Kemi</v>
      </c>
      <c r="U65" s="3" t="str">
        <f t="shared" si="3"/>
        <v>July</v>
      </c>
      <c r="V65" s="11">
        <f t="shared" si="4"/>
        <v>0</v>
      </c>
    </row>
    <row r="66" spans="1:22" x14ac:dyDescent="0.25">
      <c r="A66" s="3">
        <f>'Raw Data'!A66</f>
        <v>100065</v>
      </c>
      <c r="B66" s="4">
        <f>'Raw Data'!B66</f>
        <v>46172</v>
      </c>
      <c r="C66" s="3" t="str">
        <f>'Raw Data'!C66</f>
        <v>PH-01</v>
      </c>
      <c r="D66" s="3" t="str">
        <f>PROPER(TRIM('Raw Data'!D66))</f>
        <v>Port Harcourt</v>
      </c>
      <c r="E66" s="3" t="str">
        <f>'Raw Data'!E66</f>
        <v>In-store</v>
      </c>
      <c r="F66" s="3" t="str">
        <f>IF(PROPER(TRIM('Raw Data'!F66))="Accessory","Accessories",PROPER(TRIM('Raw Data'!F66)))</f>
        <v>Electronics</v>
      </c>
      <c r="G66" s="3" t="str">
        <f>'Raw Data'!G66</f>
        <v>Smartphone</v>
      </c>
      <c r="H66" s="3" t="str">
        <f>'Raw Data'!H66</f>
        <v>C1055</v>
      </c>
      <c r="I66" s="3" t="str">
        <f>'Raw Data'!I66</f>
        <v>Returning</v>
      </c>
      <c r="J66" s="3">
        <f>'Raw Data'!J66</f>
        <v>4</v>
      </c>
      <c r="K66" s="5">
        <f>'Raw Data'!K66</f>
        <v>165000</v>
      </c>
      <c r="L66" s="6">
        <f>'Raw Data'!L66</f>
        <v>0.1</v>
      </c>
      <c r="M66" s="5">
        <f>'Raw Data'!M66</f>
        <v>594000</v>
      </c>
      <c r="N66" s="5">
        <f t="shared" ref="N66:N129" si="5">J66*K66*(1-L66)</f>
        <v>594000</v>
      </c>
      <c r="O66" s="5">
        <f>'Raw Data'!N66</f>
        <v>112000</v>
      </c>
      <c r="P66" s="5">
        <f>IF(ISBLANK('Raw Data'!N66),AVERAGEIFS('Raw Data'!$N$2:$N$433,'Raw Data'!$G$2:$G$433,G66),'Raw Data'!N66)</f>
        <v>112000</v>
      </c>
      <c r="Q66" s="5">
        <f t="shared" ref="Q66:Q129" si="6">J66*P66</f>
        <v>448000</v>
      </c>
      <c r="R66" s="5">
        <f t="shared" ref="R66:R129" si="7">N66-Q66</f>
        <v>146000</v>
      </c>
      <c r="S66" s="3" t="str">
        <f>'Raw Data'!O66</f>
        <v>No</v>
      </c>
      <c r="T66" s="3" t="str">
        <f>'Raw Data'!P66</f>
        <v>David</v>
      </c>
      <c r="U66" s="3" t="str">
        <f t="shared" ref="U66:U129" si="8">TEXT(B66,"mmmm")</f>
        <v>May</v>
      </c>
      <c r="V66" s="11">
        <f t="shared" si="4"/>
        <v>0</v>
      </c>
    </row>
    <row r="67" spans="1:22" x14ac:dyDescent="0.25">
      <c r="A67" s="3">
        <f>'Raw Data'!A67</f>
        <v>100066</v>
      </c>
      <c r="B67" s="4">
        <f>'Raw Data'!B67</f>
        <v>46107</v>
      </c>
      <c r="C67" s="3" t="str">
        <f>'Raw Data'!C67</f>
        <v>IB-01</v>
      </c>
      <c r="D67" s="3" t="str">
        <f>PROPER(TRIM('Raw Data'!D67))</f>
        <v>Ibadan</v>
      </c>
      <c r="E67" s="3" t="str">
        <f>'Raw Data'!E67</f>
        <v>Online</v>
      </c>
      <c r="F67" s="3" t="str">
        <f>IF(PROPER(TRIM('Raw Data'!F67))="Accessory","Accessories",PROPER(TRIM('Raw Data'!F67)))</f>
        <v>Home</v>
      </c>
      <c r="G67" s="3" t="str">
        <f>'Raw Data'!G67</f>
        <v>Blender</v>
      </c>
      <c r="H67" s="3" t="str">
        <f>'Raw Data'!H67</f>
        <v>C1106</v>
      </c>
      <c r="I67" s="3" t="str">
        <f>'Raw Data'!I67</f>
        <v>Returning</v>
      </c>
      <c r="J67" s="3">
        <f>'Raw Data'!J67</f>
        <v>3</v>
      </c>
      <c r="K67" s="5">
        <f>'Raw Data'!K67</f>
        <v>42000</v>
      </c>
      <c r="L67" s="6">
        <f>'Raw Data'!L67</f>
        <v>0.1</v>
      </c>
      <c r="M67" s="5">
        <f>'Raw Data'!M67</f>
        <v>113400</v>
      </c>
      <c r="N67" s="5">
        <f t="shared" si="5"/>
        <v>113400</v>
      </c>
      <c r="O67" s="5">
        <f>'Raw Data'!N67</f>
        <v>28000</v>
      </c>
      <c r="P67" s="5">
        <f>IF(ISBLANK('Raw Data'!N67),AVERAGEIFS('Raw Data'!$N$2:$N$433,'Raw Data'!$G$2:$G$433,G67),'Raw Data'!N67)</f>
        <v>28000</v>
      </c>
      <c r="Q67" s="5">
        <f t="shared" si="6"/>
        <v>84000</v>
      </c>
      <c r="R67" s="5">
        <f t="shared" si="7"/>
        <v>29400</v>
      </c>
      <c r="S67" s="3" t="str">
        <f>'Raw Data'!O67</f>
        <v>No</v>
      </c>
      <c r="T67" s="3" t="str">
        <f>'Raw Data'!P67</f>
        <v>Kemi</v>
      </c>
      <c r="U67" s="3" t="str">
        <f t="shared" si="8"/>
        <v>March</v>
      </c>
      <c r="V67" s="11">
        <f t="shared" ref="V67:V130" si="9">IF(S67="No",0,1)</f>
        <v>0</v>
      </c>
    </row>
    <row r="68" spans="1:22" x14ac:dyDescent="0.25">
      <c r="A68" s="3">
        <f>'Raw Data'!A68</f>
        <v>100067</v>
      </c>
      <c r="B68" s="4">
        <f>'Raw Data'!B68</f>
        <v>46210</v>
      </c>
      <c r="C68" s="3" t="str">
        <f>'Raw Data'!C68</f>
        <v>AB-02</v>
      </c>
      <c r="D68" s="3" t="str">
        <f>PROPER(TRIM('Raw Data'!D68))</f>
        <v>Abuja</v>
      </c>
      <c r="E68" s="3" t="str">
        <f>'Raw Data'!E68</f>
        <v>WhatsApp</v>
      </c>
      <c r="F68" s="3" t="str">
        <f>IF(PROPER(TRIM('Raw Data'!F68))="Accessory","Accessories",PROPER(TRIM('Raw Data'!F68)))</f>
        <v>Accessories</v>
      </c>
      <c r="G68" s="3" t="str">
        <f>'Raw Data'!G68</f>
        <v>Backpack</v>
      </c>
      <c r="H68" s="3" t="str">
        <f>'Raw Data'!H68</f>
        <v>C1157</v>
      </c>
      <c r="I68" s="3" t="str">
        <f>'Raw Data'!I68</f>
        <v>New</v>
      </c>
      <c r="J68" s="3">
        <f>'Raw Data'!J68</f>
        <v>3</v>
      </c>
      <c r="K68" s="5">
        <f>'Raw Data'!K68</f>
        <v>28000</v>
      </c>
      <c r="L68" s="6">
        <f>'Raw Data'!L68</f>
        <v>0.15</v>
      </c>
      <c r="M68" s="5">
        <f>'Raw Data'!M68</f>
        <v>57120</v>
      </c>
      <c r="N68" s="5">
        <f t="shared" si="5"/>
        <v>71400</v>
      </c>
      <c r="O68" s="5">
        <f>'Raw Data'!N68</f>
        <v>16000</v>
      </c>
      <c r="P68" s="5">
        <f>IF(ISBLANK('Raw Data'!N68),AVERAGEIFS('Raw Data'!$N$2:$N$433,'Raw Data'!$G$2:$G$433,G68),'Raw Data'!N68)</f>
        <v>16000</v>
      </c>
      <c r="Q68" s="5">
        <f t="shared" si="6"/>
        <v>48000</v>
      </c>
      <c r="R68" s="5">
        <f t="shared" si="7"/>
        <v>23400</v>
      </c>
      <c r="S68" s="3" t="str">
        <f>'Raw Data'!O68</f>
        <v>No</v>
      </c>
      <c r="T68" s="3" t="str">
        <f>'Raw Data'!P68</f>
        <v>David</v>
      </c>
      <c r="U68" s="3" t="str">
        <f t="shared" si="8"/>
        <v>July</v>
      </c>
      <c r="V68" s="11">
        <f t="shared" si="9"/>
        <v>0</v>
      </c>
    </row>
    <row r="69" spans="1:22" x14ac:dyDescent="0.25">
      <c r="A69" s="3">
        <f>'Raw Data'!A69</f>
        <v>100068</v>
      </c>
      <c r="B69" s="4">
        <f>'Raw Data'!B69</f>
        <v>46111</v>
      </c>
      <c r="C69" s="3" t="str">
        <f>'Raw Data'!C69</f>
        <v>AB-02</v>
      </c>
      <c r="D69" s="3" t="str">
        <f>PROPER(TRIM('Raw Data'!D69))</f>
        <v>Abuja</v>
      </c>
      <c r="E69" s="3" t="str">
        <f>'Raw Data'!E69</f>
        <v>Online</v>
      </c>
      <c r="F69" s="3" t="str">
        <f>IF(PROPER(TRIM('Raw Data'!F69))="Accessory","Accessories",PROPER(TRIM('Raw Data'!F69)))</f>
        <v>Accessories</v>
      </c>
      <c r="G69" s="3" t="str">
        <f>'Raw Data'!G69</f>
        <v>Backpack</v>
      </c>
      <c r="H69" s="3" t="str">
        <f>'Raw Data'!H69</f>
        <v>C1000</v>
      </c>
      <c r="I69" s="3" t="str">
        <f>'Raw Data'!I69</f>
        <v>New</v>
      </c>
      <c r="J69" s="3">
        <f>'Raw Data'!J69</f>
        <v>4</v>
      </c>
      <c r="K69" s="5">
        <f>'Raw Data'!K69</f>
        <v>28000</v>
      </c>
      <c r="L69" s="6">
        <f>'Raw Data'!L69</f>
        <v>0.05</v>
      </c>
      <c r="M69" s="5">
        <f>'Raw Data'!M69</f>
        <v>106400</v>
      </c>
      <c r="N69" s="5">
        <f t="shared" si="5"/>
        <v>106400</v>
      </c>
      <c r="O69" s="5">
        <f>'Raw Data'!N69</f>
        <v>16000</v>
      </c>
      <c r="P69" s="5">
        <f>IF(ISBLANK('Raw Data'!N69),AVERAGEIFS('Raw Data'!$N$2:$N$433,'Raw Data'!$G$2:$G$433,G69),'Raw Data'!N69)</f>
        <v>16000</v>
      </c>
      <c r="Q69" s="5">
        <f t="shared" si="6"/>
        <v>64000</v>
      </c>
      <c r="R69" s="5">
        <f t="shared" si="7"/>
        <v>42400</v>
      </c>
      <c r="S69" s="3" t="str">
        <f>'Raw Data'!O69</f>
        <v>No</v>
      </c>
      <c r="T69" s="3" t="str">
        <f>'Raw Data'!P69</f>
        <v>David</v>
      </c>
      <c r="U69" s="3" t="str">
        <f t="shared" si="8"/>
        <v>March</v>
      </c>
      <c r="V69" s="11">
        <f t="shared" si="9"/>
        <v>0</v>
      </c>
    </row>
    <row r="70" spans="1:22" x14ac:dyDescent="0.25">
      <c r="A70" s="3">
        <f>'Raw Data'!A70</f>
        <v>100069</v>
      </c>
      <c r="B70" s="4">
        <f>'Raw Data'!B70</f>
        <v>46092</v>
      </c>
      <c r="C70" s="3" t="str">
        <f>'Raw Data'!C70</f>
        <v>PH-01</v>
      </c>
      <c r="D70" s="3" t="str">
        <f>PROPER(TRIM('Raw Data'!D70))</f>
        <v>Port Harcourt</v>
      </c>
      <c r="E70" s="3" t="str">
        <f>'Raw Data'!E70</f>
        <v>In-store</v>
      </c>
      <c r="F70" s="3" t="str">
        <f>IF(PROPER(TRIM('Raw Data'!F70))="Accessory","Accessories",PROPER(TRIM('Raw Data'!F70)))</f>
        <v>Electronics</v>
      </c>
      <c r="G70" s="3" t="str">
        <f>'Raw Data'!G70</f>
        <v>Smartphone</v>
      </c>
      <c r="H70" s="3" t="str">
        <f>'Raw Data'!H70</f>
        <v>C1032</v>
      </c>
      <c r="I70" s="3" t="str">
        <f>'Raw Data'!I70</f>
        <v>New</v>
      </c>
      <c r="J70" s="3">
        <f>'Raw Data'!J70</f>
        <v>3</v>
      </c>
      <c r="K70" s="5">
        <f>'Raw Data'!K70</f>
        <v>165000</v>
      </c>
      <c r="L70" s="6">
        <f>'Raw Data'!L70</f>
        <v>0.05</v>
      </c>
      <c r="M70" s="5">
        <f>'Raw Data'!M70</f>
        <v>470250</v>
      </c>
      <c r="N70" s="5">
        <f t="shared" si="5"/>
        <v>470250</v>
      </c>
      <c r="O70" s="5">
        <f>'Raw Data'!N70</f>
        <v>112000</v>
      </c>
      <c r="P70" s="5">
        <f>IF(ISBLANK('Raw Data'!N70),AVERAGEIFS('Raw Data'!$N$2:$N$433,'Raw Data'!$G$2:$G$433,G70),'Raw Data'!N70)</f>
        <v>112000</v>
      </c>
      <c r="Q70" s="5">
        <f t="shared" si="6"/>
        <v>336000</v>
      </c>
      <c r="R70" s="5">
        <f t="shared" si="7"/>
        <v>134250</v>
      </c>
      <c r="S70" s="3" t="str">
        <f>'Raw Data'!O70</f>
        <v>No</v>
      </c>
      <c r="T70" s="3" t="str">
        <f>'Raw Data'!P70</f>
        <v>Bola</v>
      </c>
      <c r="U70" s="3" t="str">
        <f t="shared" si="8"/>
        <v>March</v>
      </c>
      <c r="V70" s="11">
        <f t="shared" si="9"/>
        <v>0</v>
      </c>
    </row>
    <row r="71" spans="1:22" x14ac:dyDescent="0.25">
      <c r="A71" s="3">
        <f>'Raw Data'!A71</f>
        <v>100070</v>
      </c>
      <c r="B71" s="4">
        <f>'Raw Data'!B71</f>
        <v>46147</v>
      </c>
      <c r="C71" s="3" t="str">
        <f>'Raw Data'!C71</f>
        <v>PH-01</v>
      </c>
      <c r="D71" s="3" t="str">
        <f>PROPER(TRIM('Raw Data'!D71))</f>
        <v>Port Harcourt</v>
      </c>
      <c r="E71" s="3" t="str">
        <f>'Raw Data'!E71</f>
        <v>In-store</v>
      </c>
      <c r="F71" s="3" t="str">
        <f>IF(PROPER(TRIM('Raw Data'!F71))="Accessory","Accessories",PROPER(TRIM('Raw Data'!F71)))</f>
        <v>Home</v>
      </c>
      <c r="G71" s="3" t="str">
        <f>'Raw Data'!G71</f>
        <v>Standing Fan</v>
      </c>
      <c r="H71" s="3" t="str">
        <f>'Raw Data'!H71</f>
        <v>C1024</v>
      </c>
      <c r="I71" s="3" t="str">
        <f>'Raw Data'!I71</f>
        <v>New</v>
      </c>
      <c r="J71" s="3">
        <f>'Raw Data'!J71</f>
        <v>3</v>
      </c>
      <c r="K71" s="5">
        <f>'Raw Data'!K71</f>
        <v>58000</v>
      </c>
      <c r="L71" s="6">
        <f>'Raw Data'!L71</f>
        <v>0</v>
      </c>
      <c r="M71" s="5">
        <f>'Raw Data'!M71</f>
        <v>174000</v>
      </c>
      <c r="N71" s="5">
        <f t="shared" si="5"/>
        <v>174000</v>
      </c>
      <c r="O71" s="3">
        <f>'Raw Data'!N71</f>
        <v>0</v>
      </c>
      <c r="P71" s="5">
        <f>IF(ISBLANK('Raw Data'!N71),AVERAGEIFS('Raw Data'!$N$2:$N$433,'Raw Data'!$G$2:$G$433,G71),'Raw Data'!N71)</f>
        <v>39000</v>
      </c>
      <c r="Q71" s="5">
        <f t="shared" si="6"/>
        <v>117000</v>
      </c>
      <c r="R71" s="5">
        <f t="shared" si="7"/>
        <v>57000</v>
      </c>
      <c r="S71" s="3" t="str">
        <f>'Raw Data'!O71</f>
        <v>No</v>
      </c>
      <c r="T71" s="3" t="str">
        <f>'Raw Data'!P71</f>
        <v>Ibrahim</v>
      </c>
      <c r="U71" s="3" t="str">
        <f t="shared" si="8"/>
        <v>May</v>
      </c>
      <c r="V71" s="11">
        <f t="shared" si="9"/>
        <v>0</v>
      </c>
    </row>
    <row r="72" spans="1:22" x14ac:dyDescent="0.25">
      <c r="A72" s="3">
        <f>'Raw Data'!A72</f>
        <v>100071</v>
      </c>
      <c r="B72" s="4">
        <f>'Raw Data'!B72</f>
        <v>46028</v>
      </c>
      <c r="C72" s="3" t="str">
        <f>'Raw Data'!C72</f>
        <v>LG-02</v>
      </c>
      <c r="D72" s="3" t="str">
        <f>PROPER(TRIM('Raw Data'!D72))</f>
        <v>Lagos</v>
      </c>
      <c r="E72" s="3" t="str">
        <f>'Raw Data'!E72</f>
        <v>Online</v>
      </c>
      <c r="F72" s="3" t="str">
        <f>IF(PROPER(TRIM('Raw Data'!F72))="Accessory","Accessories",PROPER(TRIM('Raw Data'!F72)))</f>
        <v>Electronics</v>
      </c>
      <c r="G72" s="3" t="str">
        <f>'Raw Data'!G72</f>
        <v>Power Bank</v>
      </c>
      <c r="H72" s="3" t="str">
        <f>'Raw Data'!H72</f>
        <v>C1018</v>
      </c>
      <c r="I72" s="3" t="str">
        <f>'Raw Data'!I72</f>
        <v>Returning</v>
      </c>
      <c r="J72" s="3">
        <f>'Raw Data'!J72</f>
        <v>4</v>
      </c>
      <c r="K72" s="5">
        <f>'Raw Data'!K72</f>
        <v>26000</v>
      </c>
      <c r="L72" s="6">
        <f>'Raw Data'!L72</f>
        <v>0.1</v>
      </c>
      <c r="M72" s="5">
        <f>'Raw Data'!M72</f>
        <v>93600</v>
      </c>
      <c r="N72" s="5">
        <f t="shared" si="5"/>
        <v>93600</v>
      </c>
      <c r="O72" s="5">
        <f>'Raw Data'!N72</f>
        <v>15000</v>
      </c>
      <c r="P72" s="5">
        <f>IF(ISBLANK('Raw Data'!N72),AVERAGEIFS('Raw Data'!$N$2:$N$433,'Raw Data'!$G$2:$G$433,G72),'Raw Data'!N72)</f>
        <v>15000</v>
      </c>
      <c r="Q72" s="5">
        <f t="shared" si="6"/>
        <v>60000</v>
      </c>
      <c r="R72" s="5">
        <f t="shared" si="7"/>
        <v>33600</v>
      </c>
      <c r="S72" s="3" t="str">
        <f>'Raw Data'!O72</f>
        <v>No</v>
      </c>
      <c r="T72" s="3" t="str">
        <f>'Raw Data'!P72</f>
        <v>Chinedu</v>
      </c>
      <c r="U72" s="3" t="str">
        <f t="shared" si="8"/>
        <v>January</v>
      </c>
      <c r="V72" s="11">
        <f t="shared" si="9"/>
        <v>0</v>
      </c>
    </row>
    <row r="73" spans="1:22" x14ac:dyDescent="0.25">
      <c r="A73" s="3">
        <f>'Raw Data'!A73</f>
        <v>100072</v>
      </c>
      <c r="B73" s="4">
        <f>'Raw Data'!B73</f>
        <v>46182</v>
      </c>
      <c r="C73" s="3" t="str">
        <f>'Raw Data'!C73</f>
        <v>IB-01</v>
      </c>
      <c r="D73" s="3" t="str">
        <f>PROPER(TRIM('Raw Data'!D73))</f>
        <v>Ibadan</v>
      </c>
      <c r="E73" s="3" t="str">
        <f>'Raw Data'!E73</f>
        <v>In-store</v>
      </c>
      <c r="F73" s="3" t="str">
        <f>IF(PROPER(TRIM('Raw Data'!F73))="Accessory","Accessories",PROPER(TRIM('Raw Data'!F73)))</f>
        <v>Home</v>
      </c>
      <c r="G73" s="3" t="str">
        <f>'Raw Data'!G73</f>
        <v>Standing Fan</v>
      </c>
      <c r="H73" s="3" t="str">
        <f>'Raw Data'!H73</f>
        <v>C1058</v>
      </c>
      <c r="I73" s="3" t="str">
        <f>'Raw Data'!I73</f>
        <v>New</v>
      </c>
      <c r="J73" s="3">
        <f>'Raw Data'!J73</f>
        <v>3</v>
      </c>
      <c r="K73" s="5">
        <f>'Raw Data'!K73</f>
        <v>58000</v>
      </c>
      <c r="L73" s="6">
        <f>'Raw Data'!L73</f>
        <v>0.1</v>
      </c>
      <c r="M73" s="5">
        <f>'Raw Data'!M73</f>
        <v>125280</v>
      </c>
      <c r="N73" s="5">
        <f t="shared" si="5"/>
        <v>156600</v>
      </c>
      <c r="O73" s="5">
        <f>'Raw Data'!N73</f>
        <v>39000</v>
      </c>
      <c r="P73" s="5">
        <f>IF(ISBLANK('Raw Data'!N73),AVERAGEIFS('Raw Data'!$N$2:$N$433,'Raw Data'!$G$2:$G$433,G73),'Raw Data'!N73)</f>
        <v>39000</v>
      </c>
      <c r="Q73" s="5">
        <f t="shared" si="6"/>
        <v>117000</v>
      </c>
      <c r="R73" s="5">
        <f t="shared" si="7"/>
        <v>39600</v>
      </c>
      <c r="S73" s="3" t="str">
        <f>'Raw Data'!O73</f>
        <v>No</v>
      </c>
      <c r="T73" s="3" t="str">
        <f>'Raw Data'!P73</f>
        <v>Grace</v>
      </c>
      <c r="U73" s="3" t="str">
        <f t="shared" si="8"/>
        <v>June</v>
      </c>
      <c r="V73" s="11">
        <f t="shared" si="9"/>
        <v>0</v>
      </c>
    </row>
    <row r="74" spans="1:22" x14ac:dyDescent="0.25">
      <c r="A74" s="3">
        <f>'Raw Data'!A74</f>
        <v>100073</v>
      </c>
      <c r="B74" s="4">
        <f>'Raw Data'!B74</f>
        <v>46086</v>
      </c>
      <c r="C74" s="3" t="str">
        <f>'Raw Data'!C74</f>
        <v>AB-01</v>
      </c>
      <c r="D74" s="3" t="str">
        <f>PROPER(TRIM('Raw Data'!D74))</f>
        <v>Abuja</v>
      </c>
      <c r="E74" s="3" t="str">
        <f>'Raw Data'!E74</f>
        <v>Online</v>
      </c>
      <c r="F74" s="3" t="str">
        <f>IF(PROPER(TRIM('Raw Data'!F74))="Accessory","Accessories",PROPER(TRIM('Raw Data'!F74)))</f>
        <v>Electronics</v>
      </c>
      <c r="G74" s="3" t="str">
        <f>'Raw Data'!G74</f>
        <v>Power Bank</v>
      </c>
      <c r="H74" s="3" t="str">
        <f>'Raw Data'!H74</f>
        <v>C1086</v>
      </c>
      <c r="I74" s="3" t="str">
        <f>'Raw Data'!I74</f>
        <v>Returning</v>
      </c>
      <c r="J74" s="3">
        <f>'Raw Data'!J74</f>
        <v>1</v>
      </c>
      <c r="K74" s="5">
        <f>'Raw Data'!K74</f>
        <v>26000</v>
      </c>
      <c r="L74" s="6">
        <f>'Raw Data'!L74</f>
        <v>0.1</v>
      </c>
      <c r="M74" s="5">
        <f>'Raw Data'!M74</f>
        <v>23400</v>
      </c>
      <c r="N74" s="5">
        <f t="shared" si="5"/>
        <v>23400</v>
      </c>
      <c r="O74" s="5">
        <f>'Raw Data'!N74</f>
        <v>15000</v>
      </c>
      <c r="P74" s="5">
        <f>IF(ISBLANK('Raw Data'!N74),AVERAGEIFS('Raw Data'!$N$2:$N$433,'Raw Data'!$G$2:$G$433,G74),'Raw Data'!N74)</f>
        <v>15000</v>
      </c>
      <c r="Q74" s="5">
        <f t="shared" si="6"/>
        <v>15000</v>
      </c>
      <c r="R74" s="5">
        <f t="shared" si="7"/>
        <v>8400</v>
      </c>
      <c r="S74" s="3" t="str">
        <f>'Raw Data'!O74</f>
        <v>Yes</v>
      </c>
      <c r="T74" s="3" t="str">
        <f>'Raw Data'!P74</f>
        <v>Bola</v>
      </c>
      <c r="U74" s="3" t="str">
        <f t="shared" si="8"/>
        <v>March</v>
      </c>
      <c r="V74" s="11">
        <f t="shared" si="9"/>
        <v>1</v>
      </c>
    </row>
    <row r="75" spans="1:22" x14ac:dyDescent="0.25">
      <c r="A75" s="3">
        <f>'Raw Data'!A75</f>
        <v>100074</v>
      </c>
      <c r="B75" s="4">
        <f>'Raw Data'!B75</f>
        <v>46132</v>
      </c>
      <c r="C75" s="3" t="str">
        <f>'Raw Data'!C75</f>
        <v>IB-01</v>
      </c>
      <c r="D75" s="3" t="str">
        <f>PROPER(TRIM('Raw Data'!D75))</f>
        <v>Ibadan</v>
      </c>
      <c r="E75" s="3" t="str">
        <f>'Raw Data'!E75</f>
        <v>In-store</v>
      </c>
      <c r="F75" s="3" t="str">
        <f>IF(PROPER(TRIM('Raw Data'!F75))="Accessory","Accessories",PROPER(TRIM('Raw Data'!F75)))</f>
        <v>Accessories</v>
      </c>
      <c r="G75" s="3" t="str">
        <f>'Raw Data'!G75</f>
        <v>USB Cable</v>
      </c>
      <c r="H75" s="3" t="str">
        <f>'Raw Data'!H75</f>
        <v>C1043</v>
      </c>
      <c r="I75" s="3" t="str">
        <f>'Raw Data'!I75</f>
        <v>New</v>
      </c>
      <c r="J75" s="3">
        <f>'Raw Data'!J75</f>
        <v>4</v>
      </c>
      <c r="K75" s="5">
        <f>'Raw Data'!K75</f>
        <v>6500</v>
      </c>
      <c r="L75" s="6">
        <f>'Raw Data'!L75</f>
        <v>0.05</v>
      </c>
      <c r="M75" s="5">
        <f>'Raw Data'!M75</f>
        <v>24700</v>
      </c>
      <c r="N75" s="5">
        <f t="shared" si="5"/>
        <v>24700</v>
      </c>
      <c r="O75" s="5">
        <f>'Raw Data'!N75</f>
        <v>2200</v>
      </c>
      <c r="P75" s="5">
        <f>IF(ISBLANK('Raw Data'!N75),AVERAGEIFS('Raw Data'!$N$2:$N$433,'Raw Data'!$G$2:$G$433,G75),'Raw Data'!N75)</f>
        <v>2200</v>
      </c>
      <c r="Q75" s="5">
        <f t="shared" si="6"/>
        <v>8800</v>
      </c>
      <c r="R75" s="5">
        <f t="shared" si="7"/>
        <v>15900</v>
      </c>
      <c r="S75" s="3" t="str">
        <f>'Raw Data'!O75</f>
        <v>No</v>
      </c>
      <c r="T75" s="3" t="str">
        <f>'Raw Data'!P75</f>
        <v>Chinedu</v>
      </c>
      <c r="U75" s="3" t="str">
        <f t="shared" si="8"/>
        <v>April</v>
      </c>
      <c r="V75" s="11">
        <f t="shared" si="9"/>
        <v>0</v>
      </c>
    </row>
    <row r="76" spans="1:22" x14ac:dyDescent="0.25">
      <c r="A76" s="3">
        <f>'Raw Data'!A76</f>
        <v>100075</v>
      </c>
      <c r="B76" s="4">
        <f>'Raw Data'!B76</f>
        <v>46256</v>
      </c>
      <c r="C76" s="3" t="str">
        <f>'Raw Data'!C76</f>
        <v>LG-01</v>
      </c>
      <c r="D76" s="3" t="str">
        <f>PROPER(TRIM('Raw Data'!D76))</f>
        <v>Lagos</v>
      </c>
      <c r="E76" s="3" t="str">
        <f>'Raw Data'!E76</f>
        <v>In-store</v>
      </c>
      <c r="F76" s="3" t="str">
        <f>IF(PROPER(TRIM('Raw Data'!F76))="Accessory","Accessories",PROPER(TRIM('Raw Data'!F76)))</f>
        <v>Electronics</v>
      </c>
      <c r="G76" s="3" t="str">
        <f>'Raw Data'!G76</f>
        <v>Smartphone</v>
      </c>
      <c r="H76" s="3" t="str">
        <f>'Raw Data'!H76</f>
        <v>C1188</v>
      </c>
      <c r="I76" s="3" t="str">
        <f>'Raw Data'!I76</f>
        <v>Returning</v>
      </c>
      <c r="J76" s="3">
        <f>'Raw Data'!J76</f>
        <v>1</v>
      </c>
      <c r="K76" s="5">
        <f>'Raw Data'!K76</f>
        <v>165000</v>
      </c>
      <c r="L76" s="6">
        <f>'Raw Data'!L76</f>
        <v>0.05</v>
      </c>
      <c r="M76" s="5">
        <f>'Raw Data'!M76</f>
        <v>156750</v>
      </c>
      <c r="N76" s="5">
        <f t="shared" si="5"/>
        <v>156750</v>
      </c>
      <c r="O76" s="5">
        <f>'Raw Data'!N76</f>
        <v>112000</v>
      </c>
      <c r="P76" s="5">
        <f>IF(ISBLANK('Raw Data'!N76),AVERAGEIFS('Raw Data'!$N$2:$N$433,'Raw Data'!$G$2:$G$433,G76),'Raw Data'!N76)</f>
        <v>112000</v>
      </c>
      <c r="Q76" s="5">
        <f t="shared" si="6"/>
        <v>112000</v>
      </c>
      <c r="R76" s="5">
        <f t="shared" si="7"/>
        <v>44750</v>
      </c>
      <c r="S76" s="3" t="str">
        <f>'Raw Data'!O76</f>
        <v>No</v>
      </c>
      <c r="T76" s="3" t="str">
        <f>'Raw Data'!P76</f>
        <v>Fatima</v>
      </c>
      <c r="U76" s="3" t="str">
        <f t="shared" si="8"/>
        <v>August</v>
      </c>
      <c r="V76" s="11">
        <f t="shared" si="9"/>
        <v>0</v>
      </c>
    </row>
    <row r="77" spans="1:22" x14ac:dyDescent="0.25">
      <c r="A77" s="3">
        <f>'Raw Data'!A77</f>
        <v>100076</v>
      </c>
      <c r="B77" s="4">
        <f>'Raw Data'!B77</f>
        <v>46064</v>
      </c>
      <c r="C77" s="3" t="str">
        <f>'Raw Data'!C77</f>
        <v>LG-01</v>
      </c>
      <c r="D77" s="3" t="str">
        <f>PROPER(TRIM('Raw Data'!D77))</f>
        <v>Lagos</v>
      </c>
      <c r="E77" s="3" t="str">
        <f>'Raw Data'!E77</f>
        <v>In-store</v>
      </c>
      <c r="F77" s="3" t="str">
        <f>IF(PROPER(TRIM('Raw Data'!F77))="Accessory","Accessories",PROPER(TRIM('Raw Data'!F77)))</f>
        <v>Electronics</v>
      </c>
      <c r="G77" s="3" t="str">
        <f>'Raw Data'!G77</f>
        <v>Power Bank</v>
      </c>
      <c r="H77" s="3" t="str">
        <f>'Raw Data'!H77</f>
        <v>C1104</v>
      </c>
      <c r="I77" s="3" t="str">
        <f>'Raw Data'!I77</f>
        <v>New</v>
      </c>
      <c r="J77" s="3">
        <f>'Raw Data'!J77</f>
        <v>4</v>
      </c>
      <c r="K77" s="5">
        <f>'Raw Data'!K77</f>
        <v>26000</v>
      </c>
      <c r="L77" s="6">
        <f>'Raw Data'!L77</f>
        <v>0</v>
      </c>
      <c r="M77" s="5">
        <f>'Raw Data'!M77</f>
        <v>104000</v>
      </c>
      <c r="N77" s="5">
        <f t="shared" si="5"/>
        <v>104000</v>
      </c>
      <c r="O77" s="5">
        <f>'Raw Data'!N77</f>
        <v>15000</v>
      </c>
      <c r="P77" s="5">
        <f>IF(ISBLANK('Raw Data'!N77),AVERAGEIFS('Raw Data'!$N$2:$N$433,'Raw Data'!$G$2:$G$433,G77),'Raw Data'!N77)</f>
        <v>15000</v>
      </c>
      <c r="Q77" s="5">
        <f t="shared" si="6"/>
        <v>60000</v>
      </c>
      <c r="R77" s="5">
        <f t="shared" si="7"/>
        <v>44000</v>
      </c>
      <c r="S77" s="3" t="str">
        <f>'Raw Data'!O77</f>
        <v>No</v>
      </c>
      <c r="T77" s="3" t="str">
        <f>'Raw Data'!P77</f>
        <v>Aisha</v>
      </c>
      <c r="U77" s="3" t="str">
        <f t="shared" si="8"/>
        <v>February</v>
      </c>
      <c r="V77" s="11">
        <f t="shared" si="9"/>
        <v>0</v>
      </c>
    </row>
    <row r="78" spans="1:22" x14ac:dyDescent="0.25">
      <c r="A78" s="3">
        <f>'Raw Data'!A78</f>
        <v>100077</v>
      </c>
      <c r="B78" s="4">
        <f>'Raw Data'!B78</f>
        <v>46156</v>
      </c>
      <c r="C78" s="3" t="str">
        <f>'Raw Data'!C78</f>
        <v>LG-02</v>
      </c>
      <c r="D78" s="3" t="str">
        <f>PROPER(TRIM('Raw Data'!D78))</f>
        <v>Lagos</v>
      </c>
      <c r="E78" s="3" t="str">
        <f>'Raw Data'!E78</f>
        <v>In-store</v>
      </c>
      <c r="F78" s="3" t="str">
        <f>IF(PROPER(TRIM('Raw Data'!F78))="Accessory","Accessories",PROPER(TRIM('Raw Data'!F78)))</f>
        <v>Accessories</v>
      </c>
      <c r="G78" s="3" t="str">
        <f>'Raw Data'!G78</f>
        <v>Phone Case</v>
      </c>
      <c r="H78" s="3" t="str">
        <f>'Raw Data'!H78</f>
        <v>C1192</v>
      </c>
      <c r="I78" s="3" t="str">
        <f>'Raw Data'!I78</f>
        <v>New</v>
      </c>
      <c r="J78" s="3">
        <f>'Raw Data'!J78</f>
        <v>2</v>
      </c>
      <c r="K78" s="5">
        <f>'Raw Data'!K78</f>
        <v>9000</v>
      </c>
      <c r="L78" s="6">
        <f>'Raw Data'!L78</f>
        <v>0.15</v>
      </c>
      <c r="M78" s="5">
        <f>'Raw Data'!M78</f>
        <v>15300</v>
      </c>
      <c r="N78" s="5">
        <f t="shared" si="5"/>
        <v>15300</v>
      </c>
      <c r="O78" s="5">
        <f>'Raw Data'!N78</f>
        <v>3500</v>
      </c>
      <c r="P78" s="5">
        <f>IF(ISBLANK('Raw Data'!N78),AVERAGEIFS('Raw Data'!$N$2:$N$433,'Raw Data'!$G$2:$G$433,G78),'Raw Data'!N78)</f>
        <v>3500</v>
      </c>
      <c r="Q78" s="5">
        <f t="shared" si="6"/>
        <v>7000</v>
      </c>
      <c r="R78" s="5">
        <f t="shared" si="7"/>
        <v>8300</v>
      </c>
      <c r="S78" s="3" t="str">
        <f>'Raw Data'!O78</f>
        <v>No</v>
      </c>
      <c r="T78" s="3" t="str">
        <f>'Raw Data'!P78</f>
        <v>Chinedu</v>
      </c>
      <c r="U78" s="3" t="str">
        <f t="shared" si="8"/>
        <v>May</v>
      </c>
      <c r="V78" s="11">
        <f t="shared" si="9"/>
        <v>0</v>
      </c>
    </row>
    <row r="79" spans="1:22" x14ac:dyDescent="0.25">
      <c r="A79" s="3">
        <f>'Raw Data'!A79</f>
        <v>100078</v>
      </c>
      <c r="B79" s="4">
        <f>'Raw Data'!B79</f>
        <v>46209</v>
      </c>
      <c r="C79" s="3" t="str">
        <f>'Raw Data'!C79</f>
        <v>LG-01</v>
      </c>
      <c r="D79" s="3" t="str">
        <f>PROPER(TRIM('Raw Data'!D79))</f>
        <v>Lagos</v>
      </c>
      <c r="E79" s="3" t="str">
        <f>'Raw Data'!E79</f>
        <v>In-store</v>
      </c>
      <c r="F79" s="3" t="str">
        <f>IF(PROPER(TRIM('Raw Data'!F79))="Accessory","Accessories",PROPER(TRIM('Raw Data'!F79)))</f>
        <v>Accessories</v>
      </c>
      <c r="G79" s="3" t="str">
        <f>'Raw Data'!G79</f>
        <v>USB Cable</v>
      </c>
      <c r="H79" s="3" t="str">
        <f>'Raw Data'!H79</f>
        <v>C1108</v>
      </c>
      <c r="I79" s="3" t="str">
        <f>'Raw Data'!I79</f>
        <v>Returning</v>
      </c>
      <c r="J79" s="3">
        <f>'Raw Data'!J79</f>
        <v>2</v>
      </c>
      <c r="K79" s="5">
        <f>'Raw Data'!K79</f>
        <v>6500</v>
      </c>
      <c r="L79" s="6">
        <f>'Raw Data'!L79</f>
        <v>0.1</v>
      </c>
      <c r="M79" s="5">
        <f>'Raw Data'!M79</f>
        <v>11700</v>
      </c>
      <c r="N79" s="5">
        <f t="shared" si="5"/>
        <v>11700</v>
      </c>
      <c r="O79" s="5">
        <f>'Raw Data'!N79</f>
        <v>2200</v>
      </c>
      <c r="P79" s="5">
        <f>IF(ISBLANK('Raw Data'!N79),AVERAGEIFS('Raw Data'!$N$2:$N$433,'Raw Data'!$G$2:$G$433,G79),'Raw Data'!N79)</f>
        <v>2200</v>
      </c>
      <c r="Q79" s="5">
        <f t="shared" si="6"/>
        <v>4400</v>
      </c>
      <c r="R79" s="5">
        <f t="shared" si="7"/>
        <v>7300</v>
      </c>
      <c r="S79" s="3" t="str">
        <f>'Raw Data'!O79</f>
        <v>No</v>
      </c>
      <c r="T79" s="3" t="str">
        <f>'Raw Data'!P79</f>
        <v>Kemi</v>
      </c>
      <c r="U79" s="3" t="str">
        <f t="shared" si="8"/>
        <v>July</v>
      </c>
      <c r="V79" s="11">
        <f t="shared" si="9"/>
        <v>0</v>
      </c>
    </row>
    <row r="80" spans="1:22" x14ac:dyDescent="0.25">
      <c r="A80" s="3">
        <f>'Raw Data'!A80</f>
        <v>100079</v>
      </c>
      <c r="B80" s="4">
        <f>'Raw Data'!B80</f>
        <v>46058</v>
      </c>
      <c r="C80" s="3" t="str">
        <f>'Raw Data'!C80</f>
        <v>LG-02</v>
      </c>
      <c r="D80" s="3" t="str">
        <f>PROPER(TRIM('Raw Data'!D80))</f>
        <v>Lagos</v>
      </c>
      <c r="E80" s="3" t="str">
        <f>'Raw Data'!E80</f>
        <v>In-store</v>
      </c>
      <c r="F80" s="3" t="str">
        <f>IF(PROPER(TRIM('Raw Data'!F80))="Accessory","Accessories",PROPER(TRIM('Raw Data'!F80)))</f>
        <v>Home</v>
      </c>
      <c r="G80" s="3" t="str">
        <f>'Raw Data'!G80</f>
        <v>Standing Fan</v>
      </c>
      <c r="H80" s="3" t="str">
        <f>'Raw Data'!H80</f>
        <v>C1159</v>
      </c>
      <c r="I80" s="3" t="str">
        <f>'Raw Data'!I80</f>
        <v>Returning</v>
      </c>
      <c r="J80" s="3">
        <f>'Raw Data'!J80</f>
        <v>2</v>
      </c>
      <c r="K80" s="5">
        <f>'Raw Data'!K80</f>
        <v>58000</v>
      </c>
      <c r="L80" s="6">
        <f>'Raw Data'!L80</f>
        <v>0.1</v>
      </c>
      <c r="M80" s="5">
        <f>'Raw Data'!M80</f>
        <v>104400</v>
      </c>
      <c r="N80" s="5">
        <f t="shared" si="5"/>
        <v>104400</v>
      </c>
      <c r="O80" s="5">
        <f>'Raw Data'!N80</f>
        <v>39000</v>
      </c>
      <c r="P80" s="5">
        <f>IF(ISBLANK('Raw Data'!N80),AVERAGEIFS('Raw Data'!$N$2:$N$433,'Raw Data'!$G$2:$G$433,G80),'Raw Data'!N80)</f>
        <v>39000</v>
      </c>
      <c r="Q80" s="5">
        <f t="shared" si="6"/>
        <v>78000</v>
      </c>
      <c r="R80" s="5">
        <f t="shared" si="7"/>
        <v>26400</v>
      </c>
      <c r="S80" s="3" t="str">
        <f>'Raw Data'!O80</f>
        <v>No</v>
      </c>
      <c r="T80" s="3" t="str">
        <f>'Raw Data'!P80</f>
        <v>Aisha</v>
      </c>
      <c r="U80" s="3" t="str">
        <f t="shared" si="8"/>
        <v>February</v>
      </c>
      <c r="V80" s="11">
        <f t="shared" si="9"/>
        <v>0</v>
      </c>
    </row>
    <row r="81" spans="1:22" x14ac:dyDescent="0.25">
      <c r="A81" s="3">
        <f>'Raw Data'!A81</f>
        <v>100080</v>
      </c>
      <c r="B81" s="4">
        <f>'Raw Data'!B81</f>
        <v>46255</v>
      </c>
      <c r="C81" s="3" t="str">
        <f>'Raw Data'!C81</f>
        <v>IB-01</v>
      </c>
      <c r="D81" s="3" t="str">
        <f>PROPER(TRIM('Raw Data'!D81))</f>
        <v>Ibadan</v>
      </c>
      <c r="E81" s="3" t="str">
        <f>'Raw Data'!E81</f>
        <v>Online</v>
      </c>
      <c r="F81" s="3" t="str">
        <f>IF(PROPER(TRIM('Raw Data'!F81))="Accessory","Accessories",PROPER(TRIM('Raw Data'!F81)))</f>
        <v>Accessories</v>
      </c>
      <c r="G81" s="3" t="str">
        <f>'Raw Data'!G81</f>
        <v>Backpack</v>
      </c>
      <c r="H81" s="3" t="str">
        <f>'Raw Data'!H81</f>
        <v>C1017</v>
      </c>
      <c r="I81" s="3" t="str">
        <f>'Raw Data'!I81</f>
        <v>Returning</v>
      </c>
      <c r="J81" s="3">
        <f>'Raw Data'!J81</f>
        <v>2</v>
      </c>
      <c r="K81" s="5">
        <f>'Raw Data'!K81</f>
        <v>28000</v>
      </c>
      <c r="L81" s="6">
        <f>'Raw Data'!L81</f>
        <v>0.1</v>
      </c>
      <c r="M81" s="5">
        <f>'Raw Data'!M81</f>
        <v>50400</v>
      </c>
      <c r="N81" s="5">
        <f t="shared" si="5"/>
        <v>50400</v>
      </c>
      <c r="O81" s="5">
        <f>'Raw Data'!N81</f>
        <v>16000</v>
      </c>
      <c r="P81" s="5">
        <f>IF(ISBLANK('Raw Data'!N81),AVERAGEIFS('Raw Data'!$N$2:$N$433,'Raw Data'!$G$2:$G$433,G81),'Raw Data'!N81)</f>
        <v>16000</v>
      </c>
      <c r="Q81" s="5">
        <f t="shared" si="6"/>
        <v>32000</v>
      </c>
      <c r="R81" s="5">
        <f t="shared" si="7"/>
        <v>18400</v>
      </c>
      <c r="S81" s="3" t="str">
        <f>'Raw Data'!O81</f>
        <v>No</v>
      </c>
      <c r="T81" s="3" t="str">
        <f>'Raw Data'!P81</f>
        <v>Kemi</v>
      </c>
      <c r="U81" s="3" t="str">
        <f t="shared" si="8"/>
        <v>August</v>
      </c>
      <c r="V81" s="11">
        <f t="shared" si="9"/>
        <v>0</v>
      </c>
    </row>
    <row r="82" spans="1:22" x14ac:dyDescent="0.25">
      <c r="A82" s="3">
        <f>'Raw Data'!A82</f>
        <v>100081</v>
      </c>
      <c r="B82" s="4">
        <f>'Raw Data'!B82</f>
        <v>46151</v>
      </c>
      <c r="C82" s="3" t="str">
        <f>'Raw Data'!C82</f>
        <v>LG-02</v>
      </c>
      <c r="D82" s="3" t="str">
        <f>PROPER(TRIM('Raw Data'!D82))</f>
        <v>Lagos</v>
      </c>
      <c r="E82" s="3" t="str">
        <f>'Raw Data'!E82</f>
        <v>Online</v>
      </c>
      <c r="F82" s="3" t="str">
        <f>IF(PROPER(TRIM('Raw Data'!F82))="Accessory","Accessories",PROPER(TRIM('Raw Data'!F82)))</f>
        <v>Electronics</v>
      </c>
      <c r="G82" s="3" t="str">
        <f>'Raw Data'!G82</f>
        <v>Earbuds</v>
      </c>
      <c r="H82" s="3" t="str">
        <f>'Raw Data'!H82</f>
        <v>C1143</v>
      </c>
      <c r="I82" s="3" t="str">
        <f>'Raw Data'!I82</f>
        <v>New</v>
      </c>
      <c r="J82" s="3">
        <f>'Raw Data'!J82</f>
        <v>2</v>
      </c>
      <c r="K82" s="5">
        <f>'Raw Data'!K82</f>
        <v>32000</v>
      </c>
      <c r="L82" s="6">
        <f>'Raw Data'!L82</f>
        <v>0</v>
      </c>
      <c r="M82" s="5">
        <f>'Raw Data'!M82</f>
        <v>64000</v>
      </c>
      <c r="N82" s="5">
        <f t="shared" si="5"/>
        <v>64000</v>
      </c>
      <c r="O82" s="5">
        <f>'Raw Data'!N82</f>
        <v>19000</v>
      </c>
      <c r="P82" s="5">
        <f>IF(ISBLANK('Raw Data'!N82),AVERAGEIFS('Raw Data'!$N$2:$N$433,'Raw Data'!$G$2:$G$433,G82),'Raw Data'!N82)</f>
        <v>19000</v>
      </c>
      <c r="Q82" s="5">
        <f t="shared" si="6"/>
        <v>38000</v>
      </c>
      <c r="R82" s="5">
        <f t="shared" si="7"/>
        <v>26000</v>
      </c>
      <c r="S82" s="3" t="str">
        <f>'Raw Data'!O82</f>
        <v>No</v>
      </c>
      <c r="T82" s="3" t="str">
        <f>'Raw Data'!P82</f>
        <v>Aisha</v>
      </c>
      <c r="U82" s="3" t="str">
        <f t="shared" si="8"/>
        <v>May</v>
      </c>
      <c r="V82" s="11">
        <f t="shared" si="9"/>
        <v>0</v>
      </c>
    </row>
    <row r="83" spans="1:22" x14ac:dyDescent="0.25">
      <c r="A83" s="3">
        <f>'Raw Data'!A83</f>
        <v>100082</v>
      </c>
      <c r="B83" s="4">
        <f>'Raw Data'!B83</f>
        <v>46149</v>
      </c>
      <c r="C83" s="3" t="str">
        <f>'Raw Data'!C83</f>
        <v>AB-01</v>
      </c>
      <c r="D83" s="3" t="str">
        <f>PROPER(TRIM('Raw Data'!D83))</f>
        <v>Abuja</v>
      </c>
      <c r="E83" s="3" t="str">
        <f>'Raw Data'!E83</f>
        <v>Online</v>
      </c>
      <c r="F83" s="3" t="str">
        <f>IF(PROPER(TRIM('Raw Data'!F83))="Accessory","Accessories",PROPER(TRIM('Raw Data'!F83)))</f>
        <v>Electronics</v>
      </c>
      <c r="G83" s="3" t="str">
        <f>'Raw Data'!G83</f>
        <v>Smartphone</v>
      </c>
      <c r="H83" s="3" t="str">
        <f>'Raw Data'!H83</f>
        <v>C1089</v>
      </c>
      <c r="I83" s="3" t="str">
        <f>'Raw Data'!I83</f>
        <v>New</v>
      </c>
      <c r="J83" s="3">
        <f>'Raw Data'!J83</f>
        <v>2</v>
      </c>
      <c r="K83" s="5">
        <f>'Raw Data'!K83</f>
        <v>165000</v>
      </c>
      <c r="L83" s="6">
        <f>'Raw Data'!L83</f>
        <v>0.1</v>
      </c>
      <c r="M83" s="5">
        <f>'Raw Data'!M83</f>
        <v>297000</v>
      </c>
      <c r="N83" s="5">
        <f t="shared" si="5"/>
        <v>297000</v>
      </c>
      <c r="O83" s="3">
        <f>'Raw Data'!N83</f>
        <v>0</v>
      </c>
      <c r="P83" s="5">
        <f>IF(ISBLANK('Raw Data'!N83),AVERAGEIFS('Raw Data'!$N$2:$N$433,'Raw Data'!$G$2:$G$433,G83),'Raw Data'!N83)</f>
        <v>112000</v>
      </c>
      <c r="Q83" s="5">
        <f t="shared" si="6"/>
        <v>224000</v>
      </c>
      <c r="R83" s="5">
        <f t="shared" si="7"/>
        <v>73000</v>
      </c>
      <c r="S83" s="3" t="str">
        <f>'Raw Data'!O83</f>
        <v>No</v>
      </c>
      <c r="T83" s="3" t="str">
        <f>'Raw Data'!P83</f>
        <v>Fatima</v>
      </c>
      <c r="U83" s="3" t="str">
        <f t="shared" si="8"/>
        <v>May</v>
      </c>
      <c r="V83" s="11">
        <f t="shared" si="9"/>
        <v>0</v>
      </c>
    </row>
    <row r="84" spans="1:22" x14ac:dyDescent="0.25">
      <c r="A84" s="3">
        <f>'Raw Data'!A84</f>
        <v>100083</v>
      </c>
      <c r="B84" s="4">
        <f>'Raw Data'!B84</f>
        <v>46079</v>
      </c>
      <c r="C84" s="3" t="str">
        <f>'Raw Data'!C84</f>
        <v>LG-02</v>
      </c>
      <c r="D84" s="3" t="str">
        <f>PROPER(TRIM('Raw Data'!D84))</f>
        <v>Lagos</v>
      </c>
      <c r="E84" s="3" t="str">
        <f>'Raw Data'!E84</f>
        <v>In-store</v>
      </c>
      <c r="F84" s="3" t="str">
        <f>IF(PROPER(TRIM('Raw Data'!F84))="Accessory","Accessories",PROPER(TRIM('Raw Data'!F84)))</f>
        <v>Electronics</v>
      </c>
      <c r="G84" s="3" t="str">
        <f>'Raw Data'!G84</f>
        <v>Smartphone</v>
      </c>
      <c r="H84" s="3" t="str">
        <f>'Raw Data'!H84</f>
        <v>C1133</v>
      </c>
      <c r="I84" s="3" t="str">
        <f>'Raw Data'!I84</f>
        <v>Returning</v>
      </c>
      <c r="J84" s="3">
        <f>'Raw Data'!J84</f>
        <v>3</v>
      </c>
      <c r="K84" s="5">
        <f>'Raw Data'!K84</f>
        <v>165000</v>
      </c>
      <c r="L84" s="6">
        <f>'Raw Data'!L84</f>
        <v>0.1</v>
      </c>
      <c r="M84" s="5">
        <f>'Raw Data'!M84</f>
        <v>445500</v>
      </c>
      <c r="N84" s="5">
        <f t="shared" si="5"/>
        <v>445500</v>
      </c>
      <c r="O84" s="5">
        <f>'Raw Data'!N84</f>
        <v>112000</v>
      </c>
      <c r="P84" s="5">
        <f>IF(ISBLANK('Raw Data'!N84),AVERAGEIFS('Raw Data'!$N$2:$N$433,'Raw Data'!$G$2:$G$433,G84),'Raw Data'!N84)</f>
        <v>112000</v>
      </c>
      <c r="Q84" s="5">
        <f t="shared" si="6"/>
        <v>336000</v>
      </c>
      <c r="R84" s="5">
        <f t="shared" si="7"/>
        <v>109500</v>
      </c>
      <c r="S84" s="3" t="str">
        <f>'Raw Data'!O84</f>
        <v>Yes</v>
      </c>
      <c r="T84" s="3" t="str">
        <f>'Raw Data'!P84</f>
        <v>Fatima</v>
      </c>
      <c r="U84" s="3" t="str">
        <f t="shared" si="8"/>
        <v>February</v>
      </c>
      <c r="V84" s="11">
        <f t="shared" si="9"/>
        <v>1</v>
      </c>
    </row>
    <row r="85" spans="1:22" x14ac:dyDescent="0.25">
      <c r="A85" s="3">
        <f>'Raw Data'!A85</f>
        <v>100084</v>
      </c>
      <c r="B85" s="4">
        <f>'Raw Data'!B85</f>
        <v>46226</v>
      </c>
      <c r="C85" s="3" t="str">
        <f>'Raw Data'!C85</f>
        <v>AB-01</v>
      </c>
      <c r="D85" s="3" t="str">
        <f>PROPER(TRIM('Raw Data'!D85))</f>
        <v>Abuja</v>
      </c>
      <c r="E85" s="3" t="str">
        <f>'Raw Data'!E85</f>
        <v>In-store</v>
      </c>
      <c r="F85" s="3" t="str">
        <f>IF(PROPER(TRIM('Raw Data'!F85))="Accessory","Accessories",PROPER(TRIM('Raw Data'!F85)))</f>
        <v>Electronics</v>
      </c>
      <c r="G85" s="3" t="str">
        <f>'Raw Data'!G85</f>
        <v>Power Bank</v>
      </c>
      <c r="H85" s="3" t="str">
        <f>'Raw Data'!H85</f>
        <v>C1097</v>
      </c>
      <c r="I85" s="3" t="str">
        <f>'Raw Data'!I85</f>
        <v>New</v>
      </c>
      <c r="J85" s="3">
        <f>'Raw Data'!J85</f>
        <v>4</v>
      </c>
      <c r="K85" s="5">
        <f>'Raw Data'!K85</f>
        <v>26000</v>
      </c>
      <c r="L85" s="6">
        <f>'Raw Data'!L85</f>
        <v>0</v>
      </c>
      <c r="M85" s="5">
        <f>'Raw Data'!M85</f>
        <v>104000</v>
      </c>
      <c r="N85" s="5">
        <f t="shared" si="5"/>
        <v>104000</v>
      </c>
      <c r="O85" s="5">
        <f>'Raw Data'!N85</f>
        <v>15000</v>
      </c>
      <c r="P85" s="5">
        <f>IF(ISBLANK('Raw Data'!N85),AVERAGEIFS('Raw Data'!$N$2:$N$433,'Raw Data'!$G$2:$G$433,G85),'Raw Data'!N85)</f>
        <v>15000</v>
      </c>
      <c r="Q85" s="5">
        <f t="shared" si="6"/>
        <v>60000</v>
      </c>
      <c r="R85" s="5">
        <f t="shared" si="7"/>
        <v>44000</v>
      </c>
      <c r="S85" s="3" t="str">
        <f>'Raw Data'!O85</f>
        <v>Yes</v>
      </c>
      <c r="T85" s="3" t="str">
        <f>'Raw Data'!P85</f>
        <v>Kemi</v>
      </c>
      <c r="U85" s="3" t="str">
        <f t="shared" si="8"/>
        <v>July</v>
      </c>
      <c r="V85" s="11">
        <f t="shared" si="9"/>
        <v>1</v>
      </c>
    </row>
    <row r="86" spans="1:22" x14ac:dyDescent="0.25">
      <c r="A86" s="3">
        <f>'Raw Data'!A86</f>
        <v>100085</v>
      </c>
      <c r="B86" s="4">
        <f>'Raw Data'!B86</f>
        <v>46227</v>
      </c>
      <c r="C86" s="3" t="str">
        <f>'Raw Data'!C86</f>
        <v>PH-01</v>
      </c>
      <c r="D86" s="3" t="str">
        <f>PROPER(TRIM('Raw Data'!D86))</f>
        <v>Port Harcourt</v>
      </c>
      <c r="E86" s="3" t="str">
        <f>'Raw Data'!E86</f>
        <v>WhatsApp</v>
      </c>
      <c r="F86" s="3" t="str">
        <f>IF(PROPER(TRIM('Raw Data'!F86))="Accessory","Accessories",PROPER(TRIM('Raw Data'!F86)))</f>
        <v>Electronics</v>
      </c>
      <c r="G86" s="3" t="str">
        <f>'Raw Data'!G86</f>
        <v>Power Bank</v>
      </c>
      <c r="H86" s="3" t="str">
        <f>'Raw Data'!H86</f>
        <v>C1020</v>
      </c>
      <c r="I86" s="3" t="str">
        <f>'Raw Data'!I86</f>
        <v>Returning</v>
      </c>
      <c r="J86" s="3">
        <f>'Raw Data'!J86</f>
        <v>3</v>
      </c>
      <c r="K86" s="5">
        <f>'Raw Data'!K86</f>
        <v>26000</v>
      </c>
      <c r="L86" s="6">
        <f>'Raw Data'!L86</f>
        <v>0</v>
      </c>
      <c r="M86" s="5">
        <f>'Raw Data'!M86</f>
        <v>78000</v>
      </c>
      <c r="N86" s="5">
        <f t="shared" si="5"/>
        <v>78000</v>
      </c>
      <c r="O86" s="5">
        <f>'Raw Data'!N86</f>
        <v>15000</v>
      </c>
      <c r="P86" s="5">
        <f>IF(ISBLANK('Raw Data'!N86),AVERAGEIFS('Raw Data'!$N$2:$N$433,'Raw Data'!$G$2:$G$433,G86),'Raw Data'!N86)</f>
        <v>15000</v>
      </c>
      <c r="Q86" s="5">
        <f t="shared" si="6"/>
        <v>45000</v>
      </c>
      <c r="R86" s="5">
        <f t="shared" si="7"/>
        <v>33000</v>
      </c>
      <c r="S86" s="3" t="str">
        <f>'Raw Data'!O86</f>
        <v>No</v>
      </c>
      <c r="T86" s="3" t="str">
        <f>'Raw Data'!P86</f>
        <v>Aisha</v>
      </c>
      <c r="U86" s="3" t="str">
        <f t="shared" si="8"/>
        <v>July</v>
      </c>
      <c r="V86" s="11">
        <f t="shared" si="9"/>
        <v>0</v>
      </c>
    </row>
    <row r="87" spans="1:22" x14ac:dyDescent="0.25">
      <c r="A87" s="3">
        <f>'Raw Data'!A87</f>
        <v>100086</v>
      </c>
      <c r="B87" s="4">
        <f>'Raw Data'!B87</f>
        <v>46068</v>
      </c>
      <c r="C87" s="3" t="str">
        <f>'Raw Data'!C87</f>
        <v>KN-01</v>
      </c>
      <c r="D87" s="3" t="str">
        <f>PROPER(TRIM('Raw Data'!D87))</f>
        <v>Kano</v>
      </c>
      <c r="E87" s="3" t="str">
        <f>'Raw Data'!E87</f>
        <v>Online</v>
      </c>
      <c r="F87" s="3" t="str">
        <f>IF(PROPER(TRIM('Raw Data'!F87))="Accessory","Accessories",PROPER(TRIM('Raw Data'!F87)))</f>
        <v>Electronics</v>
      </c>
      <c r="G87" s="3" t="str">
        <f>'Raw Data'!G87</f>
        <v>Earbuds</v>
      </c>
      <c r="H87" s="3" t="str">
        <f>'Raw Data'!H87</f>
        <v>C1177</v>
      </c>
      <c r="I87" s="3" t="str">
        <f>'Raw Data'!I87</f>
        <v>Returning</v>
      </c>
      <c r="J87" s="3">
        <f>'Raw Data'!J87</f>
        <v>4</v>
      </c>
      <c r="K87" s="5">
        <f>'Raw Data'!K87</f>
        <v>32000</v>
      </c>
      <c r="L87" s="6">
        <f>'Raw Data'!L87</f>
        <v>0.1</v>
      </c>
      <c r="M87" s="5">
        <f>'Raw Data'!M87</f>
        <v>115200</v>
      </c>
      <c r="N87" s="5">
        <f t="shared" si="5"/>
        <v>115200</v>
      </c>
      <c r="O87" s="5">
        <f>'Raw Data'!N87</f>
        <v>19000</v>
      </c>
      <c r="P87" s="5">
        <f>IF(ISBLANK('Raw Data'!N87),AVERAGEIFS('Raw Data'!$N$2:$N$433,'Raw Data'!$G$2:$G$433,G87),'Raw Data'!N87)</f>
        <v>19000</v>
      </c>
      <c r="Q87" s="5">
        <f t="shared" si="6"/>
        <v>76000</v>
      </c>
      <c r="R87" s="5">
        <f t="shared" si="7"/>
        <v>39200</v>
      </c>
      <c r="S87" s="3" t="str">
        <f>'Raw Data'!O87</f>
        <v>No</v>
      </c>
      <c r="T87" s="3" t="str">
        <f>'Raw Data'!P87</f>
        <v>Fatima</v>
      </c>
      <c r="U87" s="3" t="str">
        <f t="shared" si="8"/>
        <v>February</v>
      </c>
      <c r="V87" s="11">
        <f t="shared" si="9"/>
        <v>0</v>
      </c>
    </row>
    <row r="88" spans="1:22" x14ac:dyDescent="0.25">
      <c r="A88" s="3">
        <f>'Raw Data'!A88</f>
        <v>100087</v>
      </c>
      <c r="B88" s="4">
        <f>'Raw Data'!B88</f>
        <v>46032</v>
      </c>
      <c r="C88" s="3" t="str">
        <f>'Raw Data'!C88</f>
        <v>AB-01</v>
      </c>
      <c r="D88" s="3" t="str">
        <f>PROPER(TRIM('Raw Data'!D88))</f>
        <v>Abuja</v>
      </c>
      <c r="E88" s="3" t="str">
        <f>'Raw Data'!E88</f>
        <v>WhatsApp</v>
      </c>
      <c r="F88" s="3" t="str">
        <f>IF(PROPER(TRIM('Raw Data'!F88))="Accessory","Accessories",PROPER(TRIM('Raw Data'!F88)))</f>
        <v>Accessories</v>
      </c>
      <c r="G88" s="3" t="str">
        <f>'Raw Data'!G88</f>
        <v>Backpack</v>
      </c>
      <c r="H88" s="3" t="str">
        <f>'Raw Data'!H88</f>
        <v>C1150</v>
      </c>
      <c r="I88" s="3" t="str">
        <f>'Raw Data'!I88</f>
        <v>Returning</v>
      </c>
      <c r="J88" s="3">
        <f>'Raw Data'!J88</f>
        <v>3</v>
      </c>
      <c r="K88" s="5">
        <f>'Raw Data'!K88</f>
        <v>28000</v>
      </c>
      <c r="L88" s="6">
        <f>'Raw Data'!L88</f>
        <v>0.15</v>
      </c>
      <c r="M88" s="5">
        <f>'Raw Data'!M88</f>
        <v>71400</v>
      </c>
      <c r="N88" s="5">
        <f t="shared" si="5"/>
        <v>71400</v>
      </c>
      <c r="O88" s="5">
        <f>'Raw Data'!N88</f>
        <v>16000</v>
      </c>
      <c r="P88" s="5">
        <f>IF(ISBLANK('Raw Data'!N88),AVERAGEIFS('Raw Data'!$N$2:$N$433,'Raw Data'!$G$2:$G$433,G88),'Raw Data'!N88)</f>
        <v>16000</v>
      </c>
      <c r="Q88" s="5">
        <f t="shared" si="6"/>
        <v>48000</v>
      </c>
      <c r="R88" s="5">
        <f t="shared" si="7"/>
        <v>23400</v>
      </c>
      <c r="S88" s="3" t="str">
        <f>'Raw Data'!O88</f>
        <v>No</v>
      </c>
      <c r="T88" s="3" t="str">
        <f>'Raw Data'!P88</f>
        <v>Fatima</v>
      </c>
      <c r="U88" s="3" t="str">
        <f t="shared" si="8"/>
        <v>January</v>
      </c>
      <c r="V88" s="11">
        <f t="shared" si="9"/>
        <v>0</v>
      </c>
    </row>
    <row r="89" spans="1:22" x14ac:dyDescent="0.25">
      <c r="A89" s="3">
        <f>'Raw Data'!A89</f>
        <v>100088</v>
      </c>
      <c r="B89" s="4">
        <f>'Raw Data'!B89</f>
        <v>46191</v>
      </c>
      <c r="C89" s="3" t="str">
        <f>'Raw Data'!C89</f>
        <v>KN-01</v>
      </c>
      <c r="D89" s="3" t="str">
        <f>PROPER(TRIM('Raw Data'!D89))</f>
        <v>Kano</v>
      </c>
      <c r="E89" s="3" t="str">
        <f>'Raw Data'!E89</f>
        <v>WhatsApp</v>
      </c>
      <c r="F89" s="3" t="str">
        <f>IF(PROPER(TRIM('Raw Data'!F89))="Accessory","Accessories",PROPER(TRIM('Raw Data'!F89)))</f>
        <v>Electronics</v>
      </c>
      <c r="G89" s="3" t="str">
        <f>'Raw Data'!G89</f>
        <v>Earbuds</v>
      </c>
      <c r="H89" s="3" t="str">
        <f>'Raw Data'!H89</f>
        <v>C1128</v>
      </c>
      <c r="I89" s="3" t="str">
        <f>'Raw Data'!I89</f>
        <v>Returning</v>
      </c>
      <c r="J89" s="3">
        <f>'Raw Data'!J89</f>
        <v>5</v>
      </c>
      <c r="K89" s="5">
        <f>'Raw Data'!K89</f>
        <v>32000</v>
      </c>
      <c r="L89" s="6">
        <f>'Raw Data'!L89</f>
        <v>0.05</v>
      </c>
      <c r="M89" s="5">
        <f>'Raw Data'!M89</f>
        <v>152000</v>
      </c>
      <c r="N89" s="5">
        <f t="shared" si="5"/>
        <v>152000</v>
      </c>
      <c r="O89" s="5">
        <f>'Raw Data'!N89</f>
        <v>19000</v>
      </c>
      <c r="P89" s="5">
        <f>IF(ISBLANK('Raw Data'!N89),AVERAGEIFS('Raw Data'!$N$2:$N$433,'Raw Data'!$G$2:$G$433,G89),'Raw Data'!N89)</f>
        <v>19000</v>
      </c>
      <c r="Q89" s="5">
        <f t="shared" si="6"/>
        <v>95000</v>
      </c>
      <c r="R89" s="5">
        <f t="shared" si="7"/>
        <v>57000</v>
      </c>
      <c r="S89" s="3" t="str">
        <f>'Raw Data'!O89</f>
        <v>Yes</v>
      </c>
      <c r="T89" s="3" t="str">
        <f>'Raw Data'!P89</f>
        <v>Chinedu</v>
      </c>
      <c r="U89" s="3" t="str">
        <f t="shared" si="8"/>
        <v>June</v>
      </c>
      <c r="V89" s="11">
        <f t="shared" si="9"/>
        <v>1</v>
      </c>
    </row>
    <row r="90" spans="1:22" x14ac:dyDescent="0.25">
      <c r="A90" s="3">
        <f>'Raw Data'!A90</f>
        <v>100089</v>
      </c>
      <c r="B90" s="4">
        <f>'Raw Data'!B90</f>
        <v>46024</v>
      </c>
      <c r="C90" s="3" t="str">
        <f>'Raw Data'!C90</f>
        <v>KN-01</v>
      </c>
      <c r="D90" s="3" t="str">
        <f>PROPER(TRIM('Raw Data'!D90))</f>
        <v>Kano</v>
      </c>
      <c r="E90" s="3" t="str">
        <f>'Raw Data'!E90</f>
        <v>In-store</v>
      </c>
      <c r="F90" s="3" t="str">
        <f>IF(PROPER(TRIM('Raw Data'!F90))="Accessory","Accessories",PROPER(TRIM('Raw Data'!F90)))</f>
        <v>Home</v>
      </c>
      <c r="G90" s="3" t="str">
        <f>'Raw Data'!G90</f>
        <v>Blender</v>
      </c>
      <c r="H90" s="3" t="str">
        <f>'Raw Data'!H90</f>
        <v>C1089</v>
      </c>
      <c r="I90" s="3" t="str">
        <f>'Raw Data'!I90</f>
        <v>Returning</v>
      </c>
      <c r="J90" s="3">
        <f>'Raw Data'!J90</f>
        <v>1</v>
      </c>
      <c r="K90" s="5">
        <f>'Raw Data'!K90</f>
        <v>42000</v>
      </c>
      <c r="L90" s="6">
        <f>'Raw Data'!L90</f>
        <v>0.05</v>
      </c>
      <c r="M90" s="5">
        <f>'Raw Data'!M90</f>
        <v>39900</v>
      </c>
      <c r="N90" s="5">
        <f t="shared" si="5"/>
        <v>39900</v>
      </c>
      <c r="O90" s="5">
        <f>'Raw Data'!N90</f>
        <v>28000</v>
      </c>
      <c r="P90" s="5">
        <f>IF(ISBLANK('Raw Data'!N90),AVERAGEIFS('Raw Data'!$N$2:$N$433,'Raw Data'!$G$2:$G$433,G90),'Raw Data'!N90)</f>
        <v>28000</v>
      </c>
      <c r="Q90" s="5">
        <f t="shared" si="6"/>
        <v>28000</v>
      </c>
      <c r="R90" s="5">
        <f t="shared" si="7"/>
        <v>11900</v>
      </c>
      <c r="S90" s="3" t="str">
        <f>'Raw Data'!O90</f>
        <v>No</v>
      </c>
      <c r="T90" s="3" t="str">
        <f>'Raw Data'!P90</f>
        <v>Bola</v>
      </c>
      <c r="U90" s="3" t="str">
        <f t="shared" si="8"/>
        <v>January</v>
      </c>
      <c r="V90" s="11">
        <f t="shared" si="9"/>
        <v>0</v>
      </c>
    </row>
    <row r="91" spans="1:22" x14ac:dyDescent="0.25">
      <c r="A91" s="3">
        <f>'Raw Data'!A91</f>
        <v>100090</v>
      </c>
      <c r="B91" s="4">
        <f>'Raw Data'!B91</f>
        <v>46085</v>
      </c>
      <c r="C91" s="3" t="str">
        <f>'Raw Data'!C91</f>
        <v>KN-01</v>
      </c>
      <c r="D91" s="3" t="str">
        <f>PROPER(TRIM('Raw Data'!D91))</f>
        <v>Kano</v>
      </c>
      <c r="E91" s="3" t="str">
        <f>'Raw Data'!E91</f>
        <v>Online</v>
      </c>
      <c r="F91" s="3" t="str">
        <f>IF(PROPER(TRIM('Raw Data'!F91))="Accessory","Accessories",PROPER(TRIM('Raw Data'!F91)))</f>
        <v>Home</v>
      </c>
      <c r="G91" s="3" t="str">
        <f>'Raw Data'!G91</f>
        <v>Blender</v>
      </c>
      <c r="H91" s="3" t="str">
        <f>'Raw Data'!H91</f>
        <v>C1169</v>
      </c>
      <c r="I91" s="3" t="str">
        <f>'Raw Data'!I91</f>
        <v>Returning</v>
      </c>
      <c r="J91" s="3">
        <f>'Raw Data'!J91</f>
        <v>4</v>
      </c>
      <c r="K91" s="5">
        <f>'Raw Data'!K91</f>
        <v>42000</v>
      </c>
      <c r="L91" s="6">
        <f>'Raw Data'!L91</f>
        <v>0.05</v>
      </c>
      <c r="M91" s="5">
        <f>'Raw Data'!M91</f>
        <v>159600</v>
      </c>
      <c r="N91" s="5">
        <f t="shared" si="5"/>
        <v>159600</v>
      </c>
      <c r="O91" s="5">
        <f>'Raw Data'!N91</f>
        <v>28000</v>
      </c>
      <c r="P91" s="5">
        <f>IF(ISBLANK('Raw Data'!N91),AVERAGEIFS('Raw Data'!$N$2:$N$433,'Raw Data'!$G$2:$G$433,G91),'Raw Data'!N91)</f>
        <v>28000</v>
      </c>
      <c r="Q91" s="5">
        <f t="shared" si="6"/>
        <v>112000</v>
      </c>
      <c r="R91" s="5">
        <f t="shared" si="7"/>
        <v>47600</v>
      </c>
      <c r="S91" s="3" t="str">
        <f>'Raw Data'!O91</f>
        <v>No</v>
      </c>
      <c r="T91" s="3" t="str">
        <f>'Raw Data'!P91</f>
        <v>Kemi</v>
      </c>
      <c r="U91" s="3" t="str">
        <f t="shared" si="8"/>
        <v>March</v>
      </c>
      <c r="V91" s="11">
        <f t="shared" si="9"/>
        <v>0</v>
      </c>
    </row>
    <row r="92" spans="1:22" x14ac:dyDescent="0.25">
      <c r="A92" s="3">
        <f>'Raw Data'!A92</f>
        <v>100091</v>
      </c>
      <c r="B92" s="4">
        <f>'Raw Data'!B92</f>
        <v>46190</v>
      </c>
      <c r="C92" s="3" t="str">
        <f>'Raw Data'!C92</f>
        <v>PH-01</v>
      </c>
      <c r="D92" s="3" t="str">
        <f>PROPER(TRIM('Raw Data'!D92))</f>
        <v>Port Harcourt</v>
      </c>
      <c r="E92" s="3" t="str">
        <f>'Raw Data'!E92</f>
        <v>Online</v>
      </c>
      <c r="F92" s="3" t="str">
        <f>IF(PROPER(TRIM('Raw Data'!F92))="Accessory","Accessories",PROPER(TRIM('Raw Data'!F92)))</f>
        <v>Accessories</v>
      </c>
      <c r="G92" s="3" t="str">
        <f>'Raw Data'!G92</f>
        <v>Phone Case</v>
      </c>
      <c r="H92" s="3" t="str">
        <f>'Raw Data'!H92</f>
        <v>C1166</v>
      </c>
      <c r="I92" s="3" t="str">
        <f>'Raw Data'!I92</f>
        <v>New</v>
      </c>
      <c r="J92" s="3">
        <f>'Raw Data'!J92</f>
        <v>2</v>
      </c>
      <c r="K92" s="5">
        <f>'Raw Data'!K92</f>
        <v>9000</v>
      </c>
      <c r="L92" s="6">
        <f>'Raw Data'!L92</f>
        <v>0.1</v>
      </c>
      <c r="M92" s="5">
        <f>'Raw Data'!M92</f>
        <v>16200</v>
      </c>
      <c r="N92" s="5">
        <f t="shared" si="5"/>
        <v>16200</v>
      </c>
      <c r="O92" s="5">
        <f>'Raw Data'!N92</f>
        <v>3500</v>
      </c>
      <c r="P92" s="5">
        <f>IF(ISBLANK('Raw Data'!N92),AVERAGEIFS('Raw Data'!$N$2:$N$433,'Raw Data'!$G$2:$G$433,G92),'Raw Data'!N92)</f>
        <v>3500</v>
      </c>
      <c r="Q92" s="5">
        <f t="shared" si="6"/>
        <v>7000</v>
      </c>
      <c r="R92" s="5">
        <f t="shared" si="7"/>
        <v>9200</v>
      </c>
      <c r="S92" s="3" t="str">
        <f>'Raw Data'!O92</f>
        <v>No</v>
      </c>
      <c r="T92" s="3" t="str">
        <f>'Raw Data'!P92</f>
        <v>Grace</v>
      </c>
      <c r="U92" s="3" t="str">
        <f t="shared" si="8"/>
        <v>June</v>
      </c>
      <c r="V92" s="11">
        <f t="shared" si="9"/>
        <v>0</v>
      </c>
    </row>
    <row r="93" spans="1:22" x14ac:dyDescent="0.25">
      <c r="A93" s="3">
        <f>'Raw Data'!A93</f>
        <v>100092</v>
      </c>
      <c r="B93" s="4">
        <f>'Raw Data'!B93</f>
        <v>46153</v>
      </c>
      <c r="C93" s="3" t="str">
        <f>'Raw Data'!C93</f>
        <v>PH-01</v>
      </c>
      <c r="D93" s="3" t="str">
        <f>PROPER(TRIM('Raw Data'!D93))</f>
        <v>Port Harcourt</v>
      </c>
      <c r="E93" s="3" t="str">
        <f>'Raw Data'!E93</f>
        <v>In-store</v>
      </c>
      <c r="F93" s="3" t="str">
        <f>IF(PROPER(TRIM('Raw Data'!F93))="Accessory","Accessories",PROPER(TRIM('Raw Data'!F93)))</f>
        <v>Home</v>
      </c>
      <c r="G93" s="3" t="str">
        <f>'Raw Data'!G93</f>
        <v>Blender</v>
      </c>
      <c r="H93" s="3" t="str">
        <f>'Raw Data'!H93</f>
        <v>C1108</v>
      </c>
      <c r="I93" s="3" t="str">
        <f>'Raw Data'!I93</f>
        <v>Returning</v>
      </c>
      <c r="J93" s="3">
        <f>'Raw Data'!J93</f>
        <v>4</v>
      </c>
      <c r="K93" s="5">
        <f>'Raw Data'!K93</f>
        <v>42000</v>
      </c>
      <c r="L93" s="6">
        <f>'Raw Data'!L93</f>
        <v>0.1</v>
      </c>
      <c r="M93" s="5">
        <f>'Raw Data'!M93</f>
        <v>166320</v>
      </c>
      <c r="N93" s="5">
        <f t="shared" si="5"/>
        <v>151200</v>
      </c>
      <c r="O93" s="5">
        <f>'Raw Data'!N93</f>
        <v>28000</v>
      </c>
      <c r="P93" s="5">
        <f>IF(ISBLANK('Raw Data'!N93),AVERAGEIFS('Raw Data'!$N$2:$N$433,'Raw Data'!$G$2:$G$433,G93),'Raw Data'!N93)</f>
        <v>28000</v>
      </c>
      <c r="Q93" s="5">
        <f t="shared" si="6"/>
        <v>112000</v>
      </c>
      <c r="R93" s="5">
        <f t="shared" si="7"/>
        <v>39200</v>
      </c>
      <c r="S93" s="3" t="str">
        <f>'Raw Data'!O93</f>
        <v>No</v>
      </c>
      <c r="T93" s="3" t="str">
        <f>'Raw Data'!P93</f>
        <v>Bola</v>
      </c>
      <c r="U93" s="3" t="str">
        <f t="shared" si="8"/>
        <v>May</v>
      </c>
      <c r="V93" s="11">
        <f t="shared" si="9"/>
        <v>0</v>
      </c>
    </row>
    <row r="94" spans="1:22" x14ac:dyDescent="0.25">
      <c r="A94" s="3">
        <f>'Raw Data'!A94</f>
        <v>100093</v>
      </c>
      <c r="B94" s="4">
        <f>'Raw Data'!B94</f>
        <v>46139</v>
      </c>
      <c r="C94" s="3" t="str">
        <f>'Raw Data'!C94</f>
        <v>AB-01</v>
      </c>
      <c r="D94" s="3" t="str">
        <f>PROPER(TRIM('Raw Data'!D94))</f>
        <v>Abuja</v>
      </c>
      <c r="E94" s="3" t="str">
        <f>'Raw Data'!E94</f>
        <v>In-store</v>
      </c>
      <c r="F94" s="3" t="str">
        <f>IF(PROPER(TRIM('Raw Data'!F94))="Accessory","Accessories",PROPER(TRIM('Raw Data'!F94)))</f>
        <v>Accessories</v>
      </c>
      <c r="G94" s="3" t="str">
        <f>'Raw Data'!G94</f>
        <v>Phone Case</v>
      </c>
      <c r="H94" s="3" t="str">
        <f>'Raw Data'!H94</f>
        <v>C1031</v>
      </c>
      <c r="I94" s="3" t="str">
        <f>'Raw Data'!I94</f>
        <v>Returning</v>
      </c>
      <c r="J94" s="3">
        <f>'Raw Data'!J94</f>
        <v>5</v>
      </c>
      <c r="K94" s="5">
        <f>'Raw Data'!K94</f>
        <v>9000</v>
      </c>
      <c r="L94" s="6">
        <f>'Raw Data'!L94</f>
        <v>0.2</v>
      </c>
      <c r="M94" s="5">
        <f>'Raw Data'!M94</f>
        <v>36000</v>
      </c>
      <c r="N94" s="5">
        <f t="shared" si="5"/>
        <v>36000</v>
      </c>
      <c r="O94" s="3">
        <f>'Raw Data'!N94</f>
        <v>0</v>
      </c>
      <c r="P94" s="5">
        <f>IF(ISBLANK('Raw Data'!N94),AVERAGEIFS('Raw Data'!$N$2:$N$433,'Raw Data'!$G$2:$G$433,G94),'Raw Data'!N94)</f>
        <v>3500</v>
      </c>
      <c r="Q94" s="5">
        <f t="shared" si="6"/>
        <v>17500</v>
      </c>
      <c r="R94" s="5">
        <f t="shared" si="7"/>
        <v>18500</v>
      </c>
      <c r="S94" s="3" t="str">
        <f>'Raw Data'!O94</f>
        <v>No</v>
      </c>
      <c r="T94" s="3" t="str">
        <f>'Raw Data'!P94</f>
        <v>Fatima</v>
      </c>
      <c r="U94" s="3" t="str">
        <f t="shared" si="8"/>
        <v>April</v>
      </c>
      <c r="V94" s="11">
        <f t="shared" si="9"/>
        <v>0</v>
      </c>
    </row>
    <row r="95" spans="1:22" x14ac:dyDescent="0.25">
      <c r="A95" s="3">
        <f>'Raw Data'!A95</f>
        <v>100094</v>
      </c>
      <c r="B95" s="4">
        <f>'Raw Data'!B95</f>
        <v>46223</v>
      </c>
      <c r="C95" s="3" t="str">
        <f>'Raw Data'!C95</f>
        <v>LG-02</v>
      </c>
      <c r="D95" s="3" t="str">
        <f>PROPER(TRIM('Raw Data'!D95))</f>
        <v>Lagos</v>
      </c>
      <c r="E95" s="3" t="str">
        <f>'Raw Data'!E95</f>
        <v>In-store</v>
      </c>
      <c r="F95" s="3" t="str">
        <f>IF(PROPER(TRIM('Raw Data'!F95))="Accessory","Accessories",PROPER(TRIM('Raw Data'!F95)))</f>
        <v>Home</v>
      </c>
      <c r="G95" s="3" t="str">
        <f>'Raw Data'!G95</f>
        <v>Blender</v>
      </c>
      <c r="H95" s="3" t="str">
        <f>'Raw Data'!H95</f>
        <v>C1036</v>
      </c>
      <c r="I95" s="3" t="str">
        <f>'Raw Data'!I95</f>
        <v>Returning</v>
      </c>
      <c r="J95" s="3">
        <f>'Raw Data'!J95</f>
        <v>4</v>
      </c>
      <c r="K95" s="5">
        <f>'Raw Data'!K95</f>
        <v>42000</v>
      </c>
      <c r="L95" s="6">
        <f>'Raw Data'!L95</f>
        <v>0.05</v>
      </c>
      <c r="M95" s="5">
        <f>'Raw Data'!M95</f>
        <v>127680</v>
      </c>
      <c r="N95" s="5">
        <f t="shared" si="5"/>
        <v>159600</v>
      </c>
      <c r="O95" s="5">
        <f>'Raw Data'!N95</f>
        <v>28000</v>
      </c>
      <c r="P95" s="5">
        <f>IF(ISBLANK('Raw Data'!N95),AVERAGEIFS('Raw Data'!$N$2:$N$433,'Raw Data'!$G$2:$G$433,G95),'Raw Data'!N95)</f>
        <v>28000</v>
      </c>
      <c r="Q95" s="5">
        <f t="shared" si="6"/>
        <v>112000</v>
      </c>
      <c r="R95" s="5">
        <f t="shared" si="7"/>
        <v>47600</v>
      </c>
      <c r="S95" s="3" t="str">
        <f>'Raw Data'!O95</f>
        <v>No</v>
      </c>
      <c r="T95" s="3" t="str">
        <f>'Raw Data'!P95</f>
        <v>Fatima</v>
      </c>
      <c r="U95" s="3" t="str">
        <f t="shared" si="8"/>
        <v>July</v>
      </c>
      <c r="V95" s="11">
        <f t="shared" si="9"/>
        <v>0</v>
      </c>
    </row>
    <row r="96" spans="1:22" x14ac:dyDescent="0.25">
      <c r="A96" s="3">
        <f>'Raw Data'!A96</f>
        <v>100095</v>
      </c>
      <c r="B96" s="4">
        <f>'Raw Data'!B96</f>
        <v>46148</v>
      </c>
      <c r="C96" s="3" t="str">
        <f>'Raw Data'!C96</f>
        <v>LG-01</v>
      </c>
      <c r="D96" s="3" t="str">
        <f>PROPER(TRIM('Raw Data'!D96))</f>
        <v>Lagos</v>
      </c>
      <c r="E96" s="3" t="str">
        <f>'Raw Data'!E96</f>
        <v>Online</v>
      </c>
      <c r="F96" s="3" t="str">
        <f>IF(PROPER(TRIM('Raw Data'!F96))="Accessory","Accessories",PROPER(TRIM('Raw Data'!F96)))</f>
        <v>Accessories</v>
      </c>
      <c r="G96" s="3" t="str">
        <f>'Raw Data'!G96</f>
        <v>Phone Case</v>
      </c>
      <c r="H96" s="3" t="str">
        <f>'Raw Data'!H96</f>
        <v>C1092</v>
      </c>
      <c r="I96" s="3" t="str">
        <f>'Raw Data'!I96</f>
        <v>New</v>
      </c>
      <c r="J96" s="3">
        <f>'Raw Data'!J96</f>
        <v>1</v>
      </c>
      <c r="K96" s="5">
        <f>'Raw Data'!K96</f>
        <v>9000</v>
      </c>
      <c r="L96" s="6">
        <f>'Raw Data'!L96</f>
        <v>0.05</v>
      </c>
      <c r="M96" s="5">
        <f>'Raw Data'!M96</f>
        <v>8550</v>
      </c>
      <c r="N96" s="5">
        <f t="shared" si="5"/>
        <v>8550</v>
      </c>
      <c r="O96" s="5">
        <f>'Raw Data'!N96</f>
        <v>3500</v>
      </c>
      <c r="P96" s="5">
        <f>IF(ISBLANK('Raw Data'!N96),AVERAGEIFS('Raw Data'!$N$2:$N$433,'Raw Data'!$G$2:$G$433,G96),'Raw Data'!N96)</f>
        <v>3500</v>
      </c>
      <c r="Q96" s="5">
        <f t="shared" si="6"/>
        <v>3500</v>
      </c>
      <c r="R96" s="5">
        <f t="shared" si="7"/>
        <v>5050</v>
      </c>
      <c r="S96" s="3" t="str">
        <f>'Raw Data'!O96</f>
        <v>No</v>
      </c>
      <c r="T96" s="3" t="str">
        <f>'Raw Data'!P96</f>
        <v>Aisha</v>
      </c>
      <c r="U96" s="3" t="str">
        <f t="shared" si="8"/>
        <v>May</v>
      </c>
      <c r="V96" s="11">
        <f t="shared" si="9"/>
        <v>0</v>
      </c>
    </row>
    <row r="97" spans="1:22" x14ac:dyDescent="0.25">
      <c r="A97" s="3">
        <f>'Raw Data'!A97</f>
        <v>100096</v>
      </c>
      <c r="B97" s="4">
        <f>'Raw Data'!B97</f>
        <v>46049</v>
      </c>
      <c r="C97" s="3" t="str">
        <f>'Raw Data'!C97</f>
        <v>AB-02</v>
      </c>
      <c r="D97" s="3" t="str">
        <f>PROPER(TRIM('Raw Data'!D97))</f>
        <v>Abuja</v>
      </c>
      <c r="E97" s="3" t="str">
        <f>'Raw Data'!E97</f>
        <v>Online</v>
      </c>
      <c r="F97" s="3" t="str">
        <f>IF(PROPER(TRIM('Raw Data'!F97))="Accessory","Accessories",PROPER(TRIM('Raw Data'!F97)))</f>
        <v>Electronics</v>
      </c>
      <c r="G97" s="3" t="str">
        <f>'Raw Data'!G97</f>
        <v>Power Bank</v>
      </c>
      <c r="H97" s="3" t="str">
        <f>'Raw Data'!H97</f>
        <v>C1038</v>
      </c>
      <c r="I97" s="3" t="str">
        <f>'Raw Data'!I97</f>
        <v>Returning</v>
      </c>
      <c r="J97" s="3">
        <f>'Raw Data'!J97</f>
        <v>3</v>
      </c>
      <c r="K97" s="5">
        <f>'Raw Data'!K97</f>
        <v>26000</v>
      </c>
      <c r="L97" s="6">
        <f>'Raw Data'!L97</f>
        <v>0</v>
      </c>
      <c r="M97" s="5">
        <f>'Raw Data'!M97</f>
        <v>78000</v>
      </c>
      <c r="N97" s="5">
        <f t="shared" si="5"/>
        <v>78000</v>
      </c>
      <c r="O97" s="3">
        <f>'Raw Data'!N97</f>
        <v>0</v>
      </c>
      <c r="P97" s="5">
        <f>IF(ISBLANK('Raw Data'!N97),AVERAGEIFS('Raw Data'!$N$2:$N$433,'Raw Data'!$G$2:$G$433,G97),'Raw Data'!N97)</f>
        <v>15000</v>
      </c>
      <c r="Q97" s="5">
        <f t="shared" si="6"/>
        <v>45000</v>
      </c>
      <c r="R97" s="5">
        <f t="shared" si="7"/>
        <v>33000</v>
      </c>
      <c r="S97" s="3" t="str">
        <f>'Raw Data'!O97</f>
        <v>No</v>
      </c>
      <c r="T97" s="3" t="str">
        <f>'Raw Data'!P97</f>
        <v>David</v>
      </c>
      <c r="U97" s="3" t="str">
        <f t="shared" si="8"/>
        <v>January</v>
      </c>
      <c r="V97" s="11">
        <f t="shared" si="9"/>
        <v>0</v>
      </c>
    </row>
    <row r="98" spans="1:22" x14ac:dyDescent="0.25">
      <c r="A98" s="3">
        <f>'Raw Data'!A98</f>
        <v>100097</v>
      </c>
      <c r="B98" s="4">
        <f>'Raw Data'!B98</f>
        <v>46122</v>
      </c>
      <c r="C98" s="3" t="str">
        <f>'Raw Data'!C98</f>
        <v>PH-01</v>
      </c>
      <c r="D98" s="3" t="str">
        <f>PROPER(TRIM('Raw Data'!D98))</f>
        <v>Port Harcourt</v>
      </c>
      <c r="E98" s="3" t="str">
        <f>'Raw Data'!E98</f>
        <v>In-store</v>
      </c>
      <c r="F98" s="3" t="str">
        <f>IF(PROPER(TRIM('Raw Data'!F98))="Accessory","Accessories",PROPER(TRIM('Raw Data'!F98)))</f>
        <v>Electronics</v>
      </c>
      <c r="G98" s="3" t="str">
        <f>'Raw Data'!G98</f>
        <v>Power Bank</v>
      </c>
      <c r="H98" s="3" t="str">
        <f>'Raw Data'!H98</f>
        <v>C1134</v>
      </c>
      <c r="I98" s="3" t="str">
        <f>'Raw Data'!I98</f>
        <v>Returning</v>
      </c>
      <c r="J98" s="3">
        <f>'Raw Data'!J98</f>
        <v>4</v>
      </c>
      <c r="K98" s="5">
        <f>'Raw Data'!K98</f>
        <v>26000</v>
      </c>
      <c r="L98" s="6">
        <f>'Raw Data'!L98</f>
        <v>0</v>
      </c>
      <c r="M98" s="5">
        <f>'Raw Data'!M98</f>
        <v>104000</v>
      </c>
      <c r="N98" s="5">
        <f t="shared" si="5"/>
        <v>104000</v>
      </c>
      <c r="O98" s="5">
        <f>'Raw Data'!N98</f>
        <v>15000</v>
      </c>
      <c r="P98" s="5">
        <f>IF(ISBLANK('Raw Data'!N98),AVERAGEIFS('Raw Data'!$N$2:$N$433,'Raw Data'!$G$2:$G$433,G98),'Raw Data'!N98)</f>
        <v>15000</v>
      </c>
      <c r="Q98" s="5">
        <f t="shared" si="6"/>
        <v>60000</v>
      </c>
      <c r="R98" s="5">
        <f t="shared" si="7"/>
        <v>44000</v>
      </c>
      <c r="S98" s="3" t="str">
        <f>'Raw Data'!O98</f>
        <v>No</v>
      </c>
      <c r="T98" s="3" t="str">
        <f>'Raw Data'!P98</f>
        <v>Bola</v>
      </c>
      <c r="U98" s="3" t="str">
        <f t="shared" si="8"/>
        <v>April</v>
      </c>
      <c r="V98" s="11">
        <f t="shared" si="9"/>
        <v>0</v>
      </c>
    </row>
    <row r="99" spans="1:22" x14ac:dyDescent="0.25">
      <c r="A99" s="3">
        <f>'Raw Data'!A99</f>
        <v>100098</v>
      </c>
      <c r="B99" s="4">
        <f>'Raw Data'!B99</f>
        <v>46074</v>
      </c>
      <c r="C99" s="3" t="str">
        <f>'Raw Data'!C99</f>
        <v>LG-01</v>
      </c>
      <c r="D99" s="3" t="str">
        <f>PROPER(TRIM('Raw Data'!D99))</f>
        <v>Lagos</v>
      </c>
      <c r="E99" s="3" t="str">
        <f>'Raw Data'!E99</f>
        <v>Online</v>
      </c>
      <c r="F99" s="3" t="str">
        <f>IF(PROPER(TRIM('Raw Data'!F99))="Accessory","Accessories",PROPER(TRIM('Raw Data'!F99)))</f>
        <v>Home</v>
      </c>
      <c r="G99" s="3" t="str">
        <f>'Raw Data'!G99</f>
        <v>Blender</v>
      </c>
      <c r="H99" s="3" t="str">
        <f>'Raw Data'!H99</f>
        <v>C1071</v>
      </c>
      <c r="I99" s="3" t="str">
        <f>'Raw Data'!I99</f>
        <v>New</v>
      </c>
      <c r="J99" s="3">
        <f>'Raw Data'!J99</f>
        <v>1</v>
      </c>
      <c r="K99" s="5">
        <f>'Raw Data'!K99</f>
        <v>42000</v>
      </c>
      <c r="L99" s="6">
        <f>'Raw Data'!L99</f>
        <v>0.05</v>
      </c>
      <c r="M99" s="5">
        <f>'Raw Data'!M99</f>
        <v>39900</v>
      </c>
      <c r="N99" s="5">
        <f t="shared" si="5"/>
        <v>39900</v>
      </c>
      <c r="O99" s="5">
        <f>'Raw Data'!N99</f>
        <v>28000</v>
      </c>
      <c r="P99" s="5">
        <f>IF(ISBLANK('Raw Data'!N99),AVERAGEIFS('Raw Data'!$N$2:$N$433,'Raw Data'!$G$2:$G$433,G99),'Raw Data'!N99)</f>
        <v>28000</v>
      </c>
      <c r="Q99" s="5">
        <f t="shared" si="6"/>
        <v>28000</v>
      </c>
      <c r="R99" s="5">
        <f t="shared" si="7"/>
        <v>11900</v>
      </c>
      <c r="S99" s="3" t="str">
        <f>'Raw Data'!O99</f>
        <v>No</v>
      </c>
      <c r="T99" s="3" t="str">
        <f>'Raw Data'!P99</f>
        <v>Fatima</v>
      </c>
      <c r="U99" s="3" t="str">
        <f t="shared" si="8"/>
        <v>February</v>
      </c>
      <c r="V99" s="11">
        <f t="shared" si="9"/>
        <v>0</v>
      </c>
    </row>
    <row r="100" spans="1:22" x14ac:dyDescent="0.25">
      <c r="A100" s="3">
        <f>'Raw Data'!A100</f>
        <v>100099</v>
      </c>
      <c r="B100" s="4">
        <f>'Raw Data'!B100</f>
        <v>46089</v>
      </c>
      <c r="C100" s="3" t="str">
        <f>'Raw Data'!C100</f>
        <v>LG-01</v>
      </c>
      <c r="D100" s="3" t="str">
        <f>PROPER(TRIM('Raw Data'!D100))</f>
        <v>Lagos</v>
      </c>
      <c r="E100" s="3" t="str">
        <f>'Raw Data'!E100</f>
        <v>In-store</v>
      </c>
      <c r="F100" s="3" t="str">
        <f>IF(PROPER(TRIM('Raw Data'!F100))="Accessory","Accessories",PROPER(TRIM('Raw Data'!F100)))</f>
        <v>Electronics</v>
      </c>
      <c r="G100" s="3" t="str">
        <f>'Raw Data'!G100</f>
        <v>Earbuds</v>
      </c>
      <c r="H100" s="3" t="str">
        <f>'Raw Data'!H100</f>
        <v>C1111</v>
      </c>
      <c r="I100" s="3" t="str">
        <f>'Raw Data'!I100</f>
        <v>New</v>
      </c>
      <c r="J100" s="3">
        <f>'Raw Data'!J100</f>
        <v>2</v>
      </c>
      <c r="K100" s="5">
        <f>'Raw Data'!K100</f>
        <v>32000</v>
      </c>
      <c r="L100" s="6">
        <f>'Raw Data'!L100</f>
        <v>0</v>
      </c>
      <c r="M100" s="5">
        <f>'Raw Data'!M100</f>
        <v>64000</v>
      </c>
      <c r="N100" s="5">
        <f t="shared" si="5"/>
        <v>64000</v>
      </c>
      <c r="O100" s="5">
        <f>'Raw Data'!N100</f>
        <v>19000</v>
      </c>
      <c r="P100" s="5">
        <f>IF(ISBLANK('Raw Data'!N100),AVERAGEIFS('Raw Data'!$N$2:$N$433,'Raw Data'!$G$2:$G$433,G100),'Raw Data'!N100)</f>
        <v>19000</v>
      </c>
      <c r="Q100" s="5">
        <f t="shared" si="6"/>
        <v>38000</v>
      </c>
      <c r="R100" s="5">
        <f t="shared" si="7"/>
        <v>26000</v>
      </c>
      <c r="S100" s="3" t="str">
        <f>'Raw Data'!O100</f>
        <v>No</v>
      </c>
      <c r="T100" s="3" t="str">
        <f>'Raw Data'!P100</f>
        <v>Fatima</v>
      </c>
      <c r="U100" s="3" t="str">
        <f t="shared" si="8"/>
        <v>March</v>
      </c>
      <c r="V100" s="11">
        <f t="shared" si="9"/>
        <v>0</v>
      </c>
    </row>
    <row r="101" spans="1:22" x14ac:dyDescent="0.25">
      <c r="A101" s="3">
        <f>'Raw Data'!A101</f>
        <v>100100</v>
      </c>
      <c r="B101" s="4">
        <f>'Raw Data'!B101</f>
        <v>46086</v>
      </c>
      <c r="C101" s="3" t="str">
        <f>'Raw Data'!C101</f>
        <v>LG-02</v>
      </c>
      <c r="D101" s="3" t="str">
        <f>PROPER(TRIM('Raw Data'!D101))</f>
        <v>Lagos</v>
      </c>
      <c r="E101" s="3" t="str">
        <f>'Raw Data'!E101</f>
        <v>In-store</v>
      </c>
      <c r="F101" s="3" t="str">
        <f>IF(PROPER(TRIM('Raw Data'!F101))="Accessory","Accessories",PROPER(TRIM('Raw Data'!F101)))</f>
        <v>Electronics</v>
      </c>
      <c r="G101" s="3" t="str">
        <f>'Raw Data'!G101</f>
        <v>Earbuds</v>
      </c>
      <c r="H101" s="3" t="str">
        <f>'Raw Data'!H101</f>
        <v>C1048</v>
      </c>
      <c r="I101" s="3" t="str">
        <f>'Raw Data'!I101</f>
        <v>New</v>
      </c>
      <c r="J101" s="3">
        <f>'Raw Data'!J101</f>
        <v>3</v>
      </c>
      <c r="K101" s="5">
        <f>'Raw Data'!K101</f>
        <v>32000</v>
      </c>
      <c r="L101" s="6">
        <f>'Raw Data'!L101</f>
        <v>0.05</v>
      </c>
      <c r="M101" s="5">
        <f>'Raw Data'!M101</f>
        <v>91200</v>
      </c>
      <c r="N101" s="5">
        <f t="shared" si="5"/>
        <v>91200</v>
      </c>
      <c r="O101" s="5">
        <f>'Raw Data'!N101</f>
        <v>19000</v>
      </c>
      <c r="P101" s="5">
        <f>IF(ISBLANK('Raw Data'!N101),AVERAGEIFS('Raw Data'!$N$2:$N$433,'Raw Data'!$G$2:$G$433,G101),'Raw Data'!N101)</f>
        <v>19000</v>
      </c>
      <c r="Q101" s="5">
        <f t="shared" si="6"/>
        <v>57000</v>
      </c>
      <c r="R101" s="5">
        <f t="shared" si="7"/>
        <v>34200</v>
      </c>
      <c r="S101" s="3" t="str">
        <f>'Raw Data'!O101</f>
        <v>No</v>
      </c>
      <c r="T101" s="3" t="str">
        <f>'Raw Data'!P101</f>
        <v>Ibrahim</v>
      </c>
      <c r="U101" s="3" t="str">
        <f t="shared" si="8"/>
        <v>March</v>
      </c>
      <c r="V101" s="11">
        <f t="shared" si="9"/>
        <v>0</v>
      </c>
    </row>
    <row r="102" spans="1:22" x14ac:dyDescent="0.25">
      <c r="A102" s="3">
        <f>'Raw Data'!A102</f>
        <v>100101</v>
      </c>
      <c r="B102" s="4">
        <f>'Raw Data'!B102</f>
        <v>46213</v>
      </c>
      <c r="C102" s="3" t="str">
        <f>'Raw Data'!C102</f>
        <v>AB-02</v>
      </c>
      <c r="D102" s="3" t="str">
        <f>PROPER(TRIM('Raw Data'!D102))</f>
        <v>Abuja</v>
      </c>
      <c r="E102" s="3" t="str">
        <f>'Raw Data'!E102</f>
        <v>In-store</v>
      </c>
      <c r="F102" s="3" t="str">
        <f>IF(PROPER(TRIM('Raw Data'!F102))="Accessory","Accessories",PROPER(TRIM('Raw Data'!F102)))</f>
        <v>Accessories</v>
      </c>
      <c r="G102" s="3" t="str">
        <f>'Raw Data'!G102</f>
        <v>Phone Case</v>
      </c>
      <c r="H102" s="3" t="str">
        <f>'Raw Data'!H102</f>
        <v>C1052</v>
      </c>
      <c r="I102" s="3" t="str">
        <f>'Raw Data'!I102</f>
        <v>Returning</v>
      </c>
      <c r="J102" s="3">
        <f>'Raw Data'!J102</f>
        <v>5</v>
      </c>
      <c r="K102" s="5">
        <f>'Raw Data'!K102</f>
        <v>9000</v>
      </c>
      <c r="L102" s="6">
        <f>'Raw Data'!L102</f>
        <v>0.05</v>
      </c>
      <c r="M102" s="5">
        <f>'Raw Data'!M102</f>
        <v>42750</v>
      </c>
      <c r="N102" s="5">
        <f t="shared" si="5"/>
        <v>42750</v>
      </c>
      <c r="O102" s="5">
        <f>'Raw Data'!N102</f>
        <v>3500</v>
      </c>
      <c r="P102" s="5">
        <f>IF(ISBLANK('Raw Data'!N102),AVERAGEIFS('Raw Data'!$N$2:$N$433,'Raw Data'!$G$2:$G$433,G102),'Raw Data'!N102)</f>
        <v>3500</v>
      </c>
      <c r="Q102" s="5">
        <f t="shared" si="6"/>
        <v>17500</v>
      </c>
      <c r="R102" s="5">
        <f t="shared" si="7"/>
        <v>25250</v>
      </c>
      <c r="S102" s="3" t="str">
        <f>'Raw Data'!O102</f>
        <v>No</v>
      </c>
      <c r="T102" s="3" t="str">
        <f>'Raw Data'!P102</f>
        <v>Chinedu</v>
      </c>
      <c r="U102" s="3" t="str">
        <f t="shared" si="8"/>
        <v>July</v>
      </c>
      <c r="V102" s="11">
        <f t="shared" si="9"/>
        <v>0</v>
      </c>
    </row>
    <row r="103" spans="1:22" x14ac:dyDescent="0.25">
      <c r="A103" s="3">
        <f>'Raw Data'!A103</f>
        <v>100102</v>
      </c>
      <c r="B103" s="4">
        <f>'Raw Data'!B103</f>
        <v>46199</v>
      </c>
      <c r="C103" s="3" t="str">
        <f>'Raw Data'!C103</f>
        <v>LG-02</v>
      </c>
      <c r="D103" s="3" t="str">
        <f>PROPER(TRIM('Raw Data'!D103))</f>
        <v>Lagos</v>
      </c>
      <c r="E103" s="3" t="str">
        <f>'Raw Data'!E103</f>
        <v>WhatsApp</v>
      </c>
      <c r="F103" s="3" t="str">
        <f>IF(PROPER(TRIM('Raw Data'!F103))="Accessory","Accessories",PROPER(TRIM('Raw Data'!F103)))</f>
        <v>Home</v>
      </c>
      <c r="G103" s="3" t="str">
        <f>'Raw Data'!G103</f>
        <v>Electric Kettle</v>
      </c>
      <c r="H103" s="3" t="str">
        <f>'Raw Data'!H103</f>
        <v>C1014</v>
      </c>
      <c r="I103" s="3" t="str">
        <f>'Raw Data'!I103</f>
        <v>Returning</v>
      </c>
      <c r="J103" s="3">
        <f>'Raw Data'!J103</f>
        <v>2</v>
      </c>
      <c r="K103" s="5">
        <f>'Raw Data'!K103</f>
        <v>24000</v>
      </c>
      <c r="L103" s="6">
        <f>'Raw Data'!L103</f>
        <v>0</v>
      </c>
      <c r="M103" s="5">
        <f>'Raw Data'!M103</f>
        <v>48000</v>
      </c>
      <c r="N103" s="5">
        <f t="shared" si="5"/>
        <v>48000</v>
      </c>
      <c r="O103" s="5">
        <f>'Raw Data'!N103</f>
        <v>15000</v>
      </c>
      <c r="P103" s="5">
        <f>IF(ISBLANK('Raw Data'!N103),AVERAGEIFS('Raw Data'!$N$2:$N$433,'Raw Data'!$G$2:$G$433,G103),'Raw Data'!N103)</f>
        <v>15000</v>
      </c>
      <c r="Q103" s="5">
        <f t="shared" si="6"/>
        <v>30000</v>
      </c>
      <c r="R103" s="5">
        <f t="shared" si="7"/>
        <v>18000</v>
      </c>
      <c r="S103" s="3" t="str">
        <f>'Raw Data'!O103</f>
        <v>No</v>
      </c>
      <c r="T103" s="3" t="str">
        <f>'Raw Data'!P103</f>
        <v>Ibrahim</v>
      </c>
      <c r="U103" s="3" t="str">
        <f t="shared" si="8"/>
        <v>June</v>
      </c>
      <c r="V103" s="11">
        <f t="shared" si="9"/>
        <v>0</v>
      </c>
    </row>
    <row r="104" spans="1:22" x14ac:dyDescent="0.25">
      <c r="A104" s="3">
        <f>'Raw Data'!A104</f>
        <v>100103</v>
      </c>
      <c r="B104" s="4">
        <f>'Raw Data'!B104</f>
        <v>46193</v>
      </c>
      <c r="C104" s="3" t="str">
        <f>'Raw Data'!C104</f>
        <v>AB-01</v>
      </c>
      <c r="D104" s="3" t="str">
        <f>PROPER(TRIM('Raw Data'!D104))</f>
        <v>Abuja</v>
      </c>
      <c r="E104" s="3" t="str">
        <f>'Raw Data'!E104</f>
        <v>Online</v>
      </c>
      <c r="F104" s="3" t="str">
        <f>IF(PROPER(TRIM('Raw Data'!F104))="Accessory","Accessories",PROPER(TRIM('Raw Data'!F104)))</f>
        <v>Electronics</v>
      </c>
      <c r="G104" s="3" t="str">
        <f>'Raw Data'!G104</f>
        <v>Smartphone</v>
      </c>
      <c r="H104" s="3" t="str">
        <f>'Raw Data'!H104</f>
        <v>C1110</v>
      </c>
      <c r="I104" s="3" t="str">
        <f>'Raw Data'!I104</f>
        <v>New</v>
      </c>
      <c r="J104" s="3">
        <f>'Raw Data'!J104</f>
        <v>1</v>
      </c>
      <c r="K104" s="5">
        <f>'Raw Data'!K104</f>
        <v>165000</v>
      </c>
      <c r="L104" s="6">
        <f>'Raw Data'!L104</f>
        <v>0</v>
      </c>
      <c r="M104" s="5">
        <f>'Raw Data'!M104</f>
        <v>165000</v>
      </c>
      <c r="N104" s="5">
        <f t="shared" si="5"/>
        <v>165000</v>
      </c>
      <c r="O104" s="5">
        <f>'Raw Data'!N104</f>
        <v>112000</v>
      </c>
      <c r="P104" s="5">
        <f>IF(ISBLANK('Raw Data'!N104),AVERAGEIFS('Raw Data'!$N$2:$N$433,'Raw Data'!$G$2:$G$433,G104),'Raw Data'!N104)</f>
        <v>112000</v>
      </c>
      <c r="Q104" s="5">
        <f t="shared" si="6"/>
        <v>112000</v>
      </c>
      <c r="R104" s="5">
        <f t="shared" si="7"/>
        <v>53000</v>
      </c>
      <c r="S104" s="3" t="str">
        <f>'Raw Data'!O104</f>
        <v>Yes</v>
      </c>
      <c r="T104" s="3" t="str">
        <f>'Raw Data'!P104</f>
        <v>Bola</v>
      </c>
      <c r="U104" s="3" t="str">
        <f t="shared" si="8"/>
        <v>June</v>
      </c>
      <c r="V104" s="11">
        <f t="shared" si="9"/>
        <v>1</v>
      </c>
    </row>
    <row r="105" spans="1:22" x14ac:dyDescent="0.25">
      <c r="A105" s="3">
        <f>'Raw Data'!A105</f>
        <v>100104</v>
      </c>
      <c r="B105" s="4">
        <f>'Raw Data'!B105</f>
        <v>46066</v>
      </c>
      <c r="C105" s="3" t="str">
        <f>'Raw Data'!C105</f>
        <v>LG-01</v>
      </c>
      <c r="D105" s="3" t="str">
        <f>PROPER(TRIM('Raw Data'!D105))</f>
        <v>Lagos</v>
      </c>
      <c r="E105" s="3" t="str">
        <f>'Raw Data'!E105</f>
        <v>In-store</v>
      </c>
      <c r="F105" s="3" t="str">
        <f>IF(PROPER(TRIM('Raw Data'!F105))="Accessory","Accessories",PROPER(TRIM('Raw Data'!F105)))</f>
        <v>Electronics</v>
      </c>
      <c r="G105" s="3" t="str">
        <f>'Raw Data'!G105</f>
        <v>Smartphone</v>
      </c>
      <c r="H105" s="3" t="str">
        <f>'Raw Data'!H105</f>
        <v>C1167</v>
      </c>
      <c r="I105" s="3" t="str">
        <f>'Raw Data'!I105</f>
        <v>New</v>
      </c>
      <c r="J105" s="3">
        <f>'Raw Data'!J105</f>
        <v>3</v>
      </c>
      <c r="K105" s="5">
        <f>'Raw Data'!K105</f>
        <v>165000</v>
      </c>
      <c r="L105" s="6">
        <f>'Raw Data'!L105</f>
        <v>0</v>
      </c>
      <c r="M105" s="5">
        <f>'Raw Data'!M105</f>
        <v>495000</v>
      </c>
      <c r="N105" s="5">
        <f t="shared" si="5"/>
        <v>495000</v>
      </c>
      <c r="O105" s="5">
        <f>'Raw Data'!N105</f>
        <v>112000</v>
      </c>
      <c r="P105" s="5">
        <f>IF(ISBLANK('Raw Data'!N105),AVERAGEIFS('Raw Data'!$N$2:$N$433,'Raw Data'!$G$2:$G$433,G105),'Raw Data'!N105)</f>
        <v>112000</v>
      </c>
      <c r="Q105" s="5">
        <f t="shared" si="6"/>
        <v>336000</v>
      </c>
      <c r="R105" s="5">
        <f t="shared" si="7"/>
        <v>159000</v>
      </c>
      <c r="S105" s="3" t="str">
        <f>'Raw Data'!O105</f>
        <v>No</v>
      </c>
      <c r="T105" s="3" t="str">
        <f>'Raw Data'!P105</f>
        <v>Grace</v>
      </c>
      <c r="U105" s="3" t="str">
        <f t="shared" si="8"/>
        <v>February</v>
      </c>
      <c r="V105" s="11">
        <f t="shared" si="9"/>
        <v>0</v>
      </c>
    </row>
    <row r="106" spans="1:22" x14ac:dyDescent="0.25">
      <c r="A106" s="3">
        <f>'Raw Data'!A106</f>
        <v>100105</v>
      </c>
      <c r="B106" s="4">
        <f>'Raw Data'!B106</f>
        <v>46177</v>
      </c>
      <c r="C106" s="3" t="str">
        <f>'Raw Data'!C106</f>
        <v>IB-01</v>
      </c>
      <c r="D106" s="3" t="str">
        <f>PROPER(TRIM('Raw Data'!D106))</f>
        <v>Ibadan</v>
      </c>
      <c r="E106" s="3" t="str">
        <f>'Raw Data'!E106</f>
        <v>WhatsApp</v>
      </c>
      <c r="F106" s="3" t="str">
        <f>IF(PROPER(TRIM('Raw Data'!F106))="Accessory","Accessories",PROPER(TRIM('Raw Data'!F106)))</f>
        <v>Home</v>
      </c>
      <c r="G106" s="3" t="str">
        <f>'Raw Data'!G106</f>
        <v>Standing Fan</v>
      </c>
      <c r="H106" s="3" t="str">
        <f>'Raw Data'!H106</f>
        <v>C1002</v>
      </c>
      <c r="I106" s="3" t="str">
        <f>'Raw Data'!I106</f>
        <v>New</v>
      </c>
      <c r="J106" s="3">
        <f>'Raw Data'!J106</f>
        <v>2</v>
      </c>
      <c r="K106" s="5">
        <f>'Raw Data'!K106</f>
        <v>58000</v>
      </c>
      <c r="L106" s="6">
        <f>'Raw Data'!L106</f>
        <v>0</v>
      </c>
      <c r="M106" s="5">
        <f>'Raw Data'!M106</f>
        <v>116000</v>
      </c>
      <c r="N106" s="5">
        <f t="shared" si="5"/>
        <v>116000</v>
      </c>
      <c r="O106" s="5">
        <f>'Raw Data'!N106</f>
        <v>39000</v>
      </c>
      <c r="P106" s="5">
        <f>IF(ISBLANK('Raw Data'!N106),AVERAGEIFS('Raw Data'!$N$2:$N$433,'Raw Data'!$G$2:$G$433,G106),'Raw Data'!N106)</f>
        <v>39000</v>
      </c>
      <c r="Q106" s="5">
        <f t="shared" si="6"/>
        <v>78000</v>
      </c>
      <c r="R106" s="5">
        <f t="shared" si="7"/>
        <v>38000</v>
      </c>
      <c r="S106" s="3" t="str">
        <f>'Raw Data'!O106</f>
        <v>No</v>
      </c>
      <c r="T106" s="3" t="str">
        <f>'Raw Data'!P106</f>
        <v>David</v>
      </c>
      <c r="U106" s="3" t="str">
        <f t="shared" si="8"/>
        <v>June</v>
      </c>
      <c r="V106" s="11">
        <f t="shared" si="9"/>
        <v>0</v>
      </c>
    </row>
    <row r="107" spans="1:22" x14ac:dyDescent="0.25">
      <c r="A107" s="3">
        <f>'Raw Data'!A107</f>
        <v>100106</v>
      </c>
      <c r="B107" s="4">
        <f>'Raw Data'!B107</f>
        <v>46082</v>
      </c>
      <c r="C107" s="3" t="str">
        <f>'Raw Data'!C107</f>
        <v>IB-01</v>
      </c>
      <c r="D107" s="3" t="str">
        <f>PROPER(TRIM('Raw Data'!D107))</f>
        <v>Ibadan</v>
      </c>
      <c r="E107" s="3" t="str">
        <f>'Raw Data'!E107</f>
        <v>In-store</v>
      </c>
      <c r="F107" s="3" t="str">
        <f>IF(PROPER(TRIM('Raw Data'!F107))="Accessory","Accessories",PROPER(TRIM('Raw Data'!F107)))</f>
        <v>Home</v>
      </c>
      <c r="G107" s="3" t="str">
        <f>'Raw Data'!G107</f>
        <v>Blender</v>
      </c>
      <c r="H107" s="3" t="str">
        <f>'Raw Data'!H107</f>
        <v>C1170</v>
      </c>
      <c r="I107" s="3" t="str">
        <f>'Raw Data'!I107</f>
        <v>Returning</v>
      </c>
      <c r="J107" s="3">
        <f>'Raw Data'!J107</f>
        <v>5</v>
      </c>
      <c r="K107" s="5">
        <f>'Raw Data'!K107</f>
        <v>42000</v>
      </c>
      <c r="L107" s="6">
        <f>'Raw Data'!L107</f>
        <v>0.05</v>
      </c>
      <c r="M107" s="5">
        <f>'Raw Data'!M107</f>
        <v>199500</v>
      </c>
      <c r="N107" s="5">
        <f t="shared" si="5"/>
        <v>199500</v>
      </c>
      <c r="O107" s="5">
        <f>'Raw Data'!N107</f>
        <v>28000</v>
      </c>
      <c r="P107" s="5">
        <f>IF(ISBLANK('Raw Data'!N107),AVERAGEIFS('Raw Data'!$N$2:$N$433,'Raw Data'!$G$2:$G$433,G107),'Raw Data'!N107)</f>
        <v>28000</v>
      </c>
      <c r="Q107" s="5">
        <f t="shared" si="6"/>
        <v>140000</v>
      </c>
      <c r="R107" s="5">
        <f t="shared" si="7"/>
        <v>59500</v>
      </c>
      <c r="S107" s="3" t="str">
        <f>'Raw Data'!O107</f>
        <v>No</v>
      </c>
      <c r="T107" s="3" t="str">
        <f>'Raw Data'!P107</f>
        <v>Kemi</v>
      </c>
      <c r="U107" s="3" t="str">
        <f t="shared" si="8"/>
        <v>March</v>
      </c>
      <c r="V107" s="11">
        <f t="shared" si="9"/>
        <v>0</v>
      </c>
    </row>
    <row r="108" spans="1:22" x14ac:dyDescent="0.25">
      <c r="A108" s="3">
        <f>'Raw Data'!A108</f>
        <v>100107</v>
      </c>
      <c r="B108" s="4">
        <f>'Raw Data'!B108</f>
        <v>46049</v>
      </c>
      <c r="C108" s="3" t="str">
        <f>'Raw Data'!C108</f>
        <v>PH-01</v>
      </c>
      <c r="D108" s="3" t="str">
        <f>PROPER(TRIM('Raw Data'!D108))</f>
        <v>Port Harcourt</v>
      </c>
      <c r="E108" s="3" t="str">
        <f>'Raw Data'!E108</f>
        <v>In-store</v>
      </c>
      <c r="F108" s="3" t="str">
        <f>IF(PROPER(TRIM('Raw Data'!F108))="Accessory","Accessories",PROPER(TRIM('Raw Data'!F108)))</f>
        <v>Home</v>
      </c>
      <c r="G108" s="3" t="str">
        <f>'Raw Data'!G108</f>
        <v>Standing Fan</v>
      </c>
      <c r="H108" s="3" t="str">
        <f>'Raw Data'!H108</f>
        <v>C1082</v>
      </c>
      <c r="I108" s="3" t="str">
        <f>'Raw Data'!I108</f>
        <v>Returning</v>
      </c>
      <c r="J108" s="3">
        <f>'Raw Data'!J108</f>
        <v>1</v>
      </c>
      <c r="K108" s="5">
        <f>'Raw Data'!K108</f>
        <v>58000</v>
      </c>
      <c r="L108" s="6">
        <f>'Raw Data'!L108</f>
        <v>0.1</v>
      </c>
      <c r="M108" s="5">
        <f>'Raw Data'!M108</f>
        <v>52200</v>
      </c>
      <c r="N108" s="5">
        <f t="shared" si="5"/>
        <v>52200</v>
      </c>
      <c r="O108" s="5">
        <f>'Raw Data'!N108</f>
        <v>39000</v>
      </c>
      <c r="P108" s="5">
        <f>IF(ISBLANK('Raw Data'!N108),AVERAGEIFS('Raw Data'!$N$2:$N$433,'Raw Data'!$G$2:$G$433,G108),'Raw Data'!N108)</f>
        <v>39000</v>
      </c>
      <c r="Q108" s="5">
        <f t="shared" si="6"/>
        <v>39000</v>
      </c>
      <c r="R108" s="5">
        <f t="shared" si="7"/>
        <v>13200</v>
      </c>
      <c r="S108" s="3" t="str">
        <f>'Raw Data'!O108</f>
        <v>No</v>
      </c>
      <c r="T108" s="3" t="str">
        <f>'Raw Data'!P108</f>
        <v>Aisha</v>
      </c>
      <c r="U108" s="3" t="str">
        <f t="shared" si="8"/>
        <v>January</v>
      </c>
      <c r="V108" s="11">
        <f t="shared" si="9"/>
        <v>0</v>
      </c>
    </row>
    <row r="109" spans="1:22" x14ac:dyDescent="0.25">
      <c r="A109" s="3">
        <f>'Raw Data'!A109</f>
        <v>100108</v>
      </c>
      <c r="B109" s="4">
        <f>'Raw Data'!B109</f>
        <v>46164</v>
      </c>
      <c r="C109" s="3" t="str">
        <f>'Raw Data'!C109</f>
        <v>AB-02</v>
      </c>
      <c r="D109" s="3" t="str">
        <f>PROPER(TRIM('Raw Data'!D109))</f>
        <v>Abuja</v>
      </c>
      <c r="E109" s="3" t="str">
        <f>'Raw Data'!E109</f>
        <v>In-store</v>
      </c>
      <c r="F109" s="3" t="str">
        <f>IF(PROPER(TRIM('Raw Data'!F109))="Accessory","Accessories",PROPER(TRIM('Raw Data'!F109)))</f>
        <v>Accessories</v>
      </c>
      <c r="G109" s="3" t="str">
        <f>'Raw Data'!G109</f>
        <v>USB Cable</v>
      </c>
      <c r="H109" s="3" t="str">
        <f>'Raw Data'!H109</f>
        <v>C1021</v>
      </c>
      <c r="I109" s="3" t="str">
        <f>'Raw Data'!I109</f>
        <v>Returning</v>
      </c>
      <c r="J109" s="3">
        <f>'Raw Data'!J109</f>
        <v>1</v>
      </c>
      <c r="K109" s="5">
        <f>'Raw Data'!K109</f>
        <v>6500</v>
      </c>
      <c r="L109" s="6">
        <f>'Raw Data'!L109</f>
        <v>0.15</v>
      </c>
      <c r="M109" s="5">
        <f>'Raw Data'!M109</f>
        <v>5525</v>
      </c>
      <c r="N109" s="5">
        <f t="shared" si="5"/>
        <v>5525</v>
      </c>
      <c r="O109" s="5">
        <f>'Raw Data'!N109</f>
        <v>2200</v>
      </c>
      <c r="P109" s="5">
        <f>IF(ISBLANK('Raw Data'!N109),AVERAGEIFS('Raw Data'!$N$2:$N$433,'Raw Data'!$G$2:$G$433,G109),'Raw Data'!N109)</f>
        <v>2200</v>
      </c>
      <c r="Q109" s="5">
        <f t="shared" si="6"/>
        <v>2200</v>
      </c>
      <c r="R109" s="5">
        <f t="shared" si="7"/>
        <v>3325</v>
      </c>
      <c r="S109" s="3" t="str">
        <f>'Raw Data'!O109</f>
        <v>No</v>
      </c>
      <c r="T109" s="3" t="str">
        <f>'Raw Data'!P109</f>
        <v>David</v>
      </c>
      <c r="U109" s="3" t="str">
        <f t="shared" si="8"/>
        <v>May</v>
      </c>
      <c r="V109" s="11">
        <f t="shared" si="9"/>
        <v>0</v>
      </c>
    </row>
    <row r="110" spans="1:22" x14ac:dyDescent="0.25">
      <c r="A110" s="3">
        <f>'Raw Data'!A110</f>
        <v>100109</v>
      </c>
      <c r="B110" s="4">
        <f>'Raw Data'!B110</f>
        <v>46234</v>
      </c>
      <c r="C110" s="3" t="str">
        <f>'Raw Data'!C110</f>
        <v>AB-02</v>
      </c>
      <c r="D110" s="3" t="str">
        <f>PROPER(TRIM('Raw Data'!D110))</f>
        <v>Abuja</v>
      </c>
      <c r="E110" s="3" t="str">
        <f>'Raw Data'!E110</f>
        <v>WhatsApp</v>
      </c>
      <c r="F110" s="3" t="str">
        <f>IF(PROPER(TRIM('Raw Data'!F110))="Accessory","Accessories",PROPER(TRIM('Raw Data'!F110)))</f>
        <v>Accessories</v>
      </c>
      <c r="G110" s="3" t="str">
        <f>'Raw Data'!G110</f>
        <v>Phone Case</v>
      </c>
      <c r="H110" s="3" t="str">
        <f>'Raw Data'!H110</f>
        <v>C1078</v>
      </c>
      <c r="I110" s="3" t="str">
        <f>'Raw Data'!I110</f>
        <v>Returning</v>
      </c>
      <c r="J110" s="3">
        <f>'Raw Data'!J110</f>
        <v>2</v>
      </c>
      <c r="K110" s="5">
        <f>'Raw Data'!K110</f>
        <v>9000</v>
      </c>
      <c r="L110" s="6">
        <f>'Raw Data'!L110</f>
        <v>0.15</v>
      </c>
      <c r="M110" s="5">
        <f>'Raw Data'!M110</f>
        <v>15300</v>
      </c>
      <c r="N110" s="5">
        <f t="shared" si="5"/>
        <v>15300</v>
      </c>
      <c r="O110" s="5">
        <f>'Raw Data'!N110</f>
        <v>3500</v>
      </c>
      <c r="P110" s="5">
        <f>IF(ISBLANK('Raw Data'!N110),AVERAGEIFS('Raw Data'!$N$2:$N$433,'Raw Data'!$G$2:$G$433,G110),'Raw Data'!N110)</f>
        <v>3500</v>
      </c>
      <c r="Q110" s="5">
        <f t="shared" si="6"/>
        <v>7000</v>
      </c>
      <c r="R110" s="5">
        <f t="shared" si="7"/>
        <v>8300</v>
      </c>
      <c r="S110" s="3" t="str">
        <f>'Raw Data'!O110</f>
        <v>No</v>
      </c>
      <c r="T110" s="3" t="str">
        <f>'Raw Data'!P110</f>
        <v>Fatima</v>
      </c>
      <c r="U110" s="3" t="str">
        <f t="shared" si="8"/>
        <v>July</v>
      </c>
      <c r="V110" s="11">
        <f t="shared" si="9"/>
        <v>0</v>
      </c>
    </row>
    <row r="111" spans="1:22" x14ac:dyDescent="0.25">
      <c r="A111" s="3">
        <f>'Raw Data'!A111</f>
        <v>100110</v>
      </c>
      <c r="B111" s="4">
        <f>'Raw Data'!B111</f>
        <v>46216</v>
      </c>
      <c r="C111" s="3" t="str">
        <f>'Raw Data'!C111</f>
        <v>LG-02</v>
      </c>
      <c r="D111" s="3" t="str">
        <f>PROPER(TRIM('Raw Data'!D111))</f>
        <v>Lagos</v>
      </c>
      <c r="E111" s="3" t="str">
        <f>'Raw Data'!E111</f>
        <v>In-store</v>
      </c>
      <c r="F111" s="3" t="str">
        <f>IF(PROPER(TRIM('Raw Data'!F111))="Accessory","Accessories",PROPER(TRIM('Raw Data'!F111)))</f>
        <v>Home</v>
      </c>
      <c r="G111" s="3" t="str">
        <f>'Raw Data'!G111</f>
        <v>Blender</v>
      </c>
      <c r="H111" s="3" t="str">
        <f>'Raw Data'!H111</f>
        <v>C1017</v>
      </c>
      <c r="I111" s="3" t="str">
        <f>'Raw Data'!I111</f>
        <v>New</v>
      </c>
      <c r="J111" s="3">
        <f>'Raw Data'!J111</f>
        <v>1</v>
      </c>
      <c r="K111" s="5">
        <f>'Raw Data'!K111</f>
        <v>42000</v>
      </c>
      <c r="L111" s="6">
        <f>'Raw Data'!L111</f>
        <v>0</v>
      </c>
      <c r="M111" s="5">
        <f>'Raw Data'!M111</f>
        <v>42000</v>
      </c>
      <c r="N111" s="5">
        <f t="shared" si="5"/>
        <v>42000</v>
      </c>
      <c r="O111" s="5">
        <f>'Raw Data'!N111</f>
        <v>28000</v>
      </c>
      <c r="P111" s="5">
        <f>IF(ISBLANK('Raw Data'!N111),AVERAGEIFS('Raw Data'!$N$2:$N$433,'Raw Data'!$G$2:$G$433,G111),'Raw Data'!N111)</f>
        <v>28000</v>
      </c>
      <c r="Q111" s="5">
        <f t="shared" si="6"/>
        <v>28000</v>
      </c>
      <c r="R111" s="5">
        <f t="shared" si="7"/>
        <v>14000</v>
      </c>
      <c r="S111" s="3" t="str">
        <f>'Raw Data'!O111</f>
        <v>No</v>
      </c>
      <c r="T111" s="3" t="str">
        <f>'Raw Data'!P111</f>
        <v>David</v>
      </c>
      <c r="U111" s="3" t="str">
        <f t="shared" si="8"/>
        <v>July</v>
      </c>
      <c r="V111" s="11">
        <f t="shared" si="9"/>
        <v>0</v>
      </c>
    </row>
    <row r="112" spans="1:22" x14ac:dyDescent="0.25">
      <c r="A112" s="3">
        <f>'Raw Data'!A112</f>
        <v>100111</v>
      </c>
      <c r="B112" s="4">
        <f>'Raw Data'!B112</f>
        <v>46234</v>
      </c>
      <c r="C112" s="3" t="str">
        <f>'Raw Data'!C112</f>
        <v>LG-02</v>
      </c>
      <c r="D112" s="3" t="str">
        <f>PROPER(TRIM('Raw Data'!D112))</f>
        <v>Lagos</v>
      </c>
      <c r="E112" s="3" t="str">
        <f>'Raw Data'!E112</f>
        <v>In-store</v>
      </c>
      <c r="F112" s="3" t="str">
        <f>IF(PROPER(TRIM('Raw Data'!F112))="Accessory","Accessories",PROPER(TRIM('Raw Data'!F112)))</f>
        <v>Accessories</v>
      </c>
      <c r="G112" s="3" t="str">
        <f>'Raw Data'!G112</f>
        <v>Backpack</v>
      </c>
      <c r="H112" s="3" t="str">
        <f>'Raw Data'!H112</f>
        <v>C1145</v>
      </c>
      <c r="I112" s="3" t="str">
        <f>'Raw Data'!I112</f>
        <v>Returning</v>
      </c>
      <c r="J112" s="3">
        <f>'Raw Data'!J112</f>
        <v>1</v>
      </c>
      <c r="K112" s="5">
        <f>'Raw Data'!K112</f>
        <v>28000</v>
      </c>
      <c r="L112" s="6">
        <f>'Raw Data'!L112</f>
        <v>0.05</v>
      </c>
      <c r="M112" s="5">
        <f>'Raw Data'!M112</f>
        <v>26600</v>
      </c>
      <c r="N112" s="5">
        <f t="shared" si="5"/>
        <v>26600</v>
      </c>
      <c r="O112" s="5">
        <f>'Raw Data'!N112</f>
        <v>16000</v>
      </c>
      <c r="P112" s="5">
        <f>IF(ISBLANK('Raw Data'!N112),AVERAGEIFS('Raw Data'!$N$2:$N$433,'Raw Data'!$G$2:$G$433,G112),'Raw Data'!N112)</f>
        <v>16000</v>
      </c>
      <c r="Q112" s="5">
        <f t="shared" si="6"/>
        <v>16000</v>
      </c>
      <c r="R112" s="5">
        <f t="shared" si="7"/>
        <v>10600</v>
      </c>
      <c r="S112" s="3" t="str">
        <f>'Raw Data'!O112</f>
        <v>No</v>
      </c>
      <c r="T112" s="3" t="str">
        <f>'Raw Data'!P112</f>
        <v>Fatima</v>
      </c>
      <c r="U112" s="3" t="str">
        <f t="shared" si="8"/>
        <v>July</v>
      </c>
      <c r="V112" s="11">
        <f t="shared" si="9"/>
        <v>0</v>
      </c>
    </row>
    <row r="113" spans="1:22" x14ac:dyDescent="0.25">
      <c r="A113" s="3">
        <f>'Raw Data'!A113</f>
        <v>100112</v>
      </c>
      <c r="B113" s="4">
        <f>'Raw Data'!B113</f>
        <v>46048</v>
      </c>
      <c r="C113" s="3" t="str">
        <f>'Raw Data'!C113</f>
        <v>KN-01</v>
      </c>
      <c r="D113" s="3" t="str">
        <f>PROPER(TRIM('Raw Data'!D113))</f>
        <v>Kano</v>
      </c>
      <c r="E113" s="3" t="str">
        <f>'Raw Data'!E113</f>
        <v>In-store</v>
      </c>
      <c r="F113" s="3" t="str">
        <f>IF(PROPER(TRIM('Raw Data'!F113))="Accessory","Accessories",PROPER(TRIM('Raw Data'!F113)))</f>
        <v>Electronics</v>
      </c>
      <c r="G113" s="3" t="str">
        <f>'Raw Data'!G113</f>
        <v>Power Bank</v>
      </c>
      <c r="H113" s="3" t="str">
        <f>'Raw Data'!H113</f>
        <v>C1091</v>
      </c>
      <c r="I113" s="3" t="str">
        <f>'Raw Data'!I113</f>
        <v>New</v>
      </c>
      <c r="J113" s="3">
        <f>'Raw Data'!J113</f>
        <v>2</v>
      </c>
      <c r="K113" s="5">
        <f>'Raw Data'!K113</f>
        <v>26000</v>
      </c>
      <c r="L113" s="6">
        <f>'Raw Data'!L113</f>
        <v>0.1</v>
      </c>
      <c r="M113" s="5">
        <f>'Raw Data'!M113</f>
        <v>46800</v>
      </c>
      <c r="N113" s="5">
        <f t="shared" si="5"/>
        <v>46800</v>
      </c>
      <c r="O113" s="5">
        <f>'Raw Data'!N113</f>
        <v>15000</v>
      </c>
      <c r="P113" s="5">
        <f>IF(ISBLANK('Raw Data'!N113),AVERAGEIFS('Raw Data'!$N$2:$N$433,'Raw Data'!$G$2:$G$433,G113),'Raw Data'!N113)</f>
        <v>15000</v>
      </c>
      <c r="Q113" s="5">
        <f t="shared" si="6"/>
        <v>30000</v>
      </c>
      <c r="R113" s="5">
        <f t="shared" si="7"/>
        <v>16800</v>
      </c>
      <c r="S113" s="3" t="str">
        <f>'Raw Data'!O113</f>
        <v>No</v>
      </c>
      <c r="T113" s="3" t="str">
        <f>'Raw Data'!P113</f>
        <v>Chinedu</v>
      </c>
      <c r="U113" s="3" t="str">
        <f t="shared" si="8"/>
        <v>January</v>
      </c>
      <c r="V113" s="11">
        <f t="shared" si="9"/>
        <v>0</v>
      </c>
    </row>
    <row r="114" spans="1:22" x14ac:dyDescent="0.25">
      <c r="A114" s="3">
        <f>'Raw Data'!A114</f>
        <v>100113</v>
      </c>
      <c r="B114" s="4">
        <f>'Raw Data'!B114</f>
        <v>46065</v>
      </c>
      <c r="C114" s="3" t="str">
        <f>'Raw Data'!C114</f>
        <v>AB-02</v>
      </c>
      <c r="D114" s="3" t="str">
        <f>PROPER(TRIM('Raw Data'!D114))</f>
        <v>Abuja</v>
      </c>
      <c r="E114" s="3" t="str">
        <f>'Raw Data'!E114</f>
        <v>In-store</v>
      </c>
      <c r="F114" s="3" t="str">
        <f>IF(PROPER(TRIM('Raw Data'!F114))="Accessory","Accessories",PROPER(TRIM('Raw Data'!F114)))</f>
        <v>Home</v>
      </c>
      <c r="G114" s="3" t="str">
        <f>'Raw Data'!G114</f>
        <v>Standing Fan</v>
      </c>
      <c r="H114" s="3" t="str">
        <f>'Raw Data'!H114</f>
        <v>C1045</v>
      </c>
      <c r="I114" s="3" t="str">
        <f>'Raw Data'!I114</f>
        <v>New</v>
      </c>
      <c r="J114" s="3">
        <f>'Raw Data'!J114</f>
        <v>3</v>
      </c>
      <c r="K114" s="5">
        <f>'Raw Data'!K114</f>
        <v>58000</v>
      </c>
      <c r="L114" s="6">
        <f>'Raw Data'!L114</f>
        <v>0.05</v>
      </c>
      <c r="M114" s="5">
        <f>'Raw Data'!M114</f>
        <v>165300</v>
      </c>
      <c r="N114" s="5">
        <f t="shared" si="5"/>
        <v>165300</v>
      </c>
      <c r="O114" s="5">
        <f>'Raw Data'!N114</f>
        <v>39000</v>
      </c>
      <c r="P114" s="5">
        <f>IF(ISBLANK('Raw Data'!N114),AVERAGEIFS('Raw Data'!$N$2:$N$433,'Raw Data'!$G$2:$G$433,G114),'Raw Data'!N114)</f>
        <v>39000</v>
      </c>
      <c r="Q114" s="5">
        <f t="shared" si="6"/>
        <v>117000</v>
      </c>
      <c r="R114" s="5">
        <f t="shared" si="7"/>
        <v>48300</v>
      </c>
      <c r="S114" s="3" t="str">
        <f>'Raw Data'!O114</f>
        <v>No</v>
      </c>
      <c r="T114" s="3" t="str">
        <f>'Raw Data'!P114</f>
        <v>Kemi</v>
      </c>
      <c r="U114" s="3" t="str">
        <f t="shared" si="8"/>
        <v>February</v>
      </c>
      <c r="V114" s="11">
        <f t="shared" si="9"/>
        <v>0</v>
      </c>
    </row>
    <row r="115" spans="1:22" x14ac:dyDescent="0.25">
      <c r="A115" s="3">
        <f>'Raw Data'!A115</f>
        <v>100114</v>
      </c>
      <c r="B115" s="4">
        <f>'Raw Data'!B115</f>
        <v>46194</v>
      </c>
      <c r="C115" s="3" t="str">
        <f>'Raw Data'!C115</f>
        <v>AB-01</v>
      </c>
      <c r="D115" s="3" t="str">
        <f>PROPER(TRIM('Raw Data'!D115))</f>
        <v>Abuja</v>
      </c>
      <c r="E115" s="3" t="str">
        <f>'Raw Data'!E115</f>
        <v>Online</v>
      </c>
      <c r="F115" s="3" t="str">
        <f>IF(PROPER(TRIM('Raw Data'!F115))="Accessory","Accessories",PROPER(TRIM('Raw Data'!F115)))</f>
        <v>Accessories</v>
      </c>
      <c r="G115" s="3" t="str">
        <f>'Raw Data'!G115</f>
        <v>USB Cable</v>
      </c>
      <c r="H115" s="3" t="str">
        <f>'Raw Data'!H115</f>
        <v>C1044</v>
      </c>
      <c r="I115" s="3" t="str">
        <f>'Raw Data'!I115</f>
        <v>Returning</v>
      </c>
      <c r="J115" s="3">
        <f>'Raw Data'!J115</f>
        <v>2</v>
      </c>
      <c r="K115" s="5">
        <f>'Raw Data'!K115</f>
        <v>6500</v>
      </c>
      <c r="L115" s="6">
        <f>'Raw Data'!L115</f>
        <v>0.25</v>
      </c>
      <c r="M115" s="5">
        <f>'Raw Data'!M115</f>
        <v>9750</v>
      </c>
      <c r="N115" s="5">
        <f t="shared" si="5"/>
        <v>9750</v>
      </c>
      <c r="O115" s="5">
        <f>'Raw Data'!N115</f>
        <v>2200</v>
      </c>
      <c r="P115" s="5">
        <f>IF(ISBLANK('Raw Data'!N115),AVERAGEIFS('Raw Data'!$N$2:$N$433,'Raw Data'!$G$2:$G$433,G115),'Raw Data'!N115)</f>
        <v>2200</v>
      </c>
      <c r="Q115" s="5">
        <f t="shared" si="6"/>
        <v>4400</v>
      </c>
      <c r="R115" s="5">
        <f t="shared" si="7"/>
        <v>5350</v>
      </c>
      <c r="S115" s="3" t="str">
        <f>'Raw Data'!O115</f>
        <v>No</v>
      </c>
      <c r="T115" s="3" t="str">
        <f>'Raw Data'!P115</f>
        <v>Chinedu</v>
      </c>
      <c r="U115" s="3" t="str">
        <f t="shared" si="8"/>
        <v>June</v>
      </c>
      <c r="V115" s="11">
        <f t="shared" si="9"/>
        <v>0</v>
      </c>
    </row>
    <row r="116" spans="1:22" x14ac:dyDescent="0.25">
      <c r="A116" s="3">
        <f>'Raw Data'!A116</f>
        <v>100115</v>
      </c>
      <c r="B116" s="4">
        <f>'Raw Data'!B116</f>
        <v>46112</v>
      </c>
      <c r="C116" s="3" t="str">
        <f>'Raw Data'!C116</f>
        <v>LG-02</v>
      </c>
      <c r="D116" s="3" t="str">
        <f>PROPER(TRIM('Raw Data'!D116))</f>
        <v>Lagos</v>
      </c>
      <c r="E116" s="3" t="str">
        <f>'Raw Data'!E116</f>
        <v>Online</v>
      </c>
      <c r="F116" s="3" t="str">
        <f>IF(PROPER(TRIM('Raw Data'!F116))="Accessory","Accessories",PROPER(TRIM('Raw Data'!F116)))</f>
        <v>Electronics</v>
      </c>
      <c r="G116" s="3" t="str">
        <f>'Raw Data'!G116</f>
        <v>Power Bank</v>
      </c>
      <c r="H116" s="3" t="str">
        <f>'Raw Data'!H116</f>
        <v>C1098</v>
      </c>
      <c r="I116" s="3" t="str">
        <f>'Raw Data'!I116</f>
        <v>New</v>
      </c>
      <c r="J116" s="3">
        <f>'Raw Data'!J116</f>
        <v>2</v>
      </c>
      <c r="K116" s="5">
        <f>'Raw Data'!K116</f>
        <v>26000</v>
      </c>
      <c r="L116" s="6">
        <f>'Raw Data'!L116</f>
        <v>0.1</v>
      </c>
      <c r="M116" s="5">
        <f>'Raw Data'!M116</f>
        <v>46800</v>
      </c>
      <c r="N116" s="5">
        <f t="shared" si="5"/>
        <v>46800</v>
      </c>
      <c r="O116" s="5">
        <f>'Raw Data'!N116</f>
        <v>15000</v>
      </c>
      <c r="P116" s="5">
        <f>IF(ISBLANK('Raw Data'!N116),AVERAGEIFS('Raw Data'!$N$2:$N$433,'Raw Data'!$G$2:$G$433,G116),'Raw Data'!N116)</f>
        <v>15000</v>
      </c>
      <c r="Q116" s="5">
        <f t="shared" si="6"/>
        <v>30000</v>
      </c>
      <c r="R116" s="5">
        <f t="shared" si="7"/>
        <v>16800</v>
      </c>
      <c r="S116" s="3" t="str">
        <f>'Raw Data'!O116</f>
        <v>No</v>
      </c>
      <c r="T116" s="3" t="str">
        <f>'Raw Data'!P116</f>
        <v>Aisha</v>
      </c>
      <c r="U116" s="3" t="str">
        <f t="shared" si="8"/>
        <v>March</v>
      </c>
      <c r="V116" s="11">
        <f t="shared" si="9"/>
        <v>0</v>
      </c>
    </row>
    <row r="117" spans="1:22" x14ac:dyDescent="0.25">
      <c r="A117" s="3">
        <f>'Raw Data'!A117</f>
        <v>100116</v>
      </c>
      <c r="B117" s="4">
        <f>'Raw Data'!B117</f>
        <v>46056</v>
      </c>
      <c r="C117" s="3" t="str">
        <f>'Raw Data'!C117</f>
        <v>PH-01</v>
      </c>
      <c r="D117" s="3" t="str">
        <f>PROPER(TRIM('Raw Data'!D117))</f>
        <v>Port Harcourt</v>
      </c>
      <c r="E117" s="3" t="str">
        <f>'Raw Data'!E117</f>
        <v>In-store</v>
      </c>
      <c r="F117" s="3" t="str">
        <f>IF(PROPER(TRIM('Raw Data'!F117))="Accessory","Accessories",PROPER(TRIM('Raw Data'!F117)))</f>
        <v>Accessories</v>
      </c>
      <c r="G117" s="3" t="str">
        <f>'Raw Data'!G117</f>
        <v>Backpack</v>
      </c>
      <c r="H117" s="3" t="str">
        <f>'Raw Data'!H117</f>
        <v>C1190</v>
      </c>
      <c r="I117" s="3" t="str">
        <f>'Raw Data'!I117</f>
        <v>Returning</v>
      </c>
      <c r="J117" s="3">
        <f>'Raw Data'!J117</f>
        <v>5</v>
      </c>
      <c r="K117" s="5">
        <f>'Raw Data'!K117</f>
        <v>28000</v>
      </c>
      <c r="L117" s="6">
        <f>'Raw Data'!L117</f>
        <v>0</v>
      </c>
      <c r="M117" s="5">
        <f>'Raw Data'!M117</f>
        <v>140000</v>
      </c>
      <c r="N117" s="5">
        <f t="shared" si="5"/>
        <v>140000</v>
      </c>
      <c r="O117" s="5">
        <f>'Raw Data'!N117</f>
        <v>16000</v>
      </c>
      <c r="P117" s="5">
        <f>IF(ISBLANK('Raw Data'!N117),AVERAGEIFS('Raw Data'!$N$2:$N$433,'Raw Data'!$G$2:$G$433,G117),'Raw Data'!N117)</f>
        <v>16000</v>
      </c>
      <c r="Q117" s="5">
        <f t="shared" si="6"/>
        <v>80000</v>
      </c>
      <c r="R117" s="5">
        <f t="shared" si="7"/>
        <v>60000</v>
      </c>
      <c r="S117" s="3" t="str">
        <f>'Raw Data'!O117</f>
        <v>No</v>
      </c>
      <c r="T117" s="3" t="str">
        <f>'Raw Data'!P117</f>
        <v>Kemi</v>
      </c>
      <c r="U117" s="3" t="str">
        <f t="shared" si="8"/>
        <v>February</v>
      </c>
      <c r="V117" s="11">
        <f t="shared" si="9"/>
        <v>0</v>
      </c>
    </row>
    <row r="118" spans="1:22" x14ac:dyDescent="0.25">
      <c r="A118" s="3">
        <f>'Raw Data'!A118</f>
        <v>100117</v>
      </c>
      <c r="B118" s="4">
        <f>'Raw Data'!B118</f>
        <v>46122</v>
      </c>
      <c r="C118" s="3" t="str">
        <f>'Raw Data'!C118</f>
        <v>LG-02</v>
      </c>
      <c r="D118" s="3" t="str">
        <f>PROPER(TRIM('Raw Data'!D118))</f>
        <v>Lagos</v>
      </c>
      <c r="E118" s="3" t="str">
        <f>'Raw Data'!E118</f>
        <v>In-store</v>
      </c>
      <c r="F118" s="3" t="str">
        <f>IF(PROPER(TRIM('Raw Data'!F118))="Accessory","Accessories",PROPER(TRIM('Raw Data'!F118)))</f>
        <v>Accessories</v>
      </c>
      <c r="G118" s="3" t="str">
        <f>'Raw Data'!G118</f>
        <v>Phone Case</v>
      </c>
      <c r="H118" s="3" t="str">
        <f>'Raw Data'!H118</f>
        <v>C1055</v>
      </c>
      <c r="I118" s="3" t="str">
        <f>'Raw Data'!I118</f>
        <v>New</v>
      </c>
      <c r="J118" s="3">
        <f>'Raw Data'!J118</f>
        <v>4</v>
      </c>
      <c r="K118" s="5">
        <f>'Raw Data'!K118</f>
        <v>9000</v>
      </c>
      <c r="L118" s="6">
        <f>'Raw Data'!L118</f>
        <v>0</v>
      </c>
      <c r="M118" s="5">
        <f>'Raw Data'!M118</f>
        <v>36000</v>
      </c>
      <c r="N118" s="5">
        <f t="shared" si="5"/>
        <v>36000</v>
      </c>
      <c r="O118" s="5">
        <f>'Raw Data'!N118</f>
        <v>3500</v>
      </c>
      <c r="P118" s="5">
        <f>IF(ISBLANK('Raw Data'!N118),AVERAGEIFS('Raw Data'!$N$2:$N$433,'Raw Data'!$G$2:$G$433,G118),'Raw Data'!N118)</f>
        <v>3500</v>
      </c>
      <c r="Q118" s="5">
        <f t="shared" si="6"/>
        <v>14000</v>
      </c>
      <c r="R118" s="5">
        <f t="shared" si="7"/>
        <v>22000</v>
      </c>
      <c r="S118" s="3" t="str">
        <f>'Raw Data'!O118</f>
        <v>No</v>
      </c>
      <c r="T118" s="3" t="str">
        <f>'Raw Data'!P118</f>
        <v>Ibrahim</v>
      </c>
      <c r="U118" s="3" t="str">
        <f t="shared" si="8"/>
        <v>April</v>
      </c>
      <c r="V118" s="11">
        <f t="shared" si="9"/>
        <v>0</v>
      </c>
    </row>
    <row r="119" spans="1:22" x14ac:dyDescent="0.25">
      <c r="A119" s="3">
        <f>'Raw Data'!A119</f>
        <v>100118</v>
      </c>
      <c r="B119" s="4">
        <f>'Raw Data'!B119</f>
        <v>46260</v>
      </c>
      <c r="C119" s="3" t="str">
        <f>'Raw Data'!C119</f>
        <v>IB-01</v>
      </c>
      <c r="D119" s="3" t="str">
        <f>PROPER(TRIM('Raw Data'!D119))</f>
        <v>Ibadan</v>
      </c>
      <c r="E119" s="3" t="str">
        <f>'Raw Data'!E119</f>
        <v>WhatsApp</v>
      </c>
      <c r="F119" s="3" t="str">
        <f>IF(PROPER(TRIM('Raw Data'!F119))="Accessory","Accessories",PROPER(TRIM('Raw Data'!F119)))</f>
        <v>Electronics</v>
      </c>
      <c r="G119" s="3" t="str">
        <f>'Raw Data'!G119</f>
        <v>Power Bank</v>
      </c>
      <c r="H119" s="3" t="str">
        <f>'Raw Data'!H119</f>
        <v>C1048</v>
      </c>
      <c r="I119" s="3" t="str">
        <f>'Raw Data'!I119</f>
        <v>New</v>
      </c>
      <c r="J119" s="3">
        <f>'Raw Data'!J119</f>
        <v>3</v>
      </c>
      <c r="K119" s="5">
        <f>'Raw Data'!K119</f>
        <v>26000</v>
      </c>
      <c r="L119" s="6">
        <f>'Raw Data'!L119</f>
        <v>0</v>
      </c>
      <c r="M119" s="5">
        <f>'Raw Data'!M119</f>
        <v>78000</v>
      </c>
      <c r="N119" s="5">
        <f t="shared" si="5"/>
        <v>78000</v>
      </c>
      <c r="O119" s="5">
        <f>'Raw Data'!N119</f>
        <v>15000</v>
      </c>
      <c r="P119" s="5">
        <f>IF(ISBLANK('Raw Data'!N119),AVERAGEIFS('Raw Data'!$N$2:$N$433,'Raw Data'!$G$2:$G$433,G119),'Raw Data'!N119)</f>
        <v>15000</v>
      </c>
      <c r="Q119" s="5">
        <f t="shared" si="6"/>
        <v>45000</v>
      </c>
      <c r="R119" s="5">
        <f t="shared" si="7"/>
        <v>33000</v>
      </c>
      <c r="S119" s="3" t="str">
        <f>'Raw Data'!O119</f>
        <v>No</v>
      </c>
      <c r="T119" s="3" t="str">
        <f>'Raw Data'!P119</f>
        <v>David</v>
      </c>
      <c r="U119" s="3" t="str">
        <f t="shared" si="8"/>
        <v>August</v>
      </c>
      <c r="V119" s="11">
        <f t="shared" si="9"/>
        <v>0</v>
      </c>
    </row>
    <row r="120" spans="1:22" x14ac:dyDescent="0.25">
      <c r="A120" s="3">
        <f>'Raw Data'!A120</f>
        <v>100119</v>
      </c>
      <c r="B120" s="4">
        <f>'Raw Data'!B120</f>
        <v>46201</v>
      </c>
      <c r="C120" s="3" t="str">
        <f>'Raw Data'!C120</f>
        <v>LG-02</v>
      </c>
      <c r="D120" s="3" t="str">
        <f>PROPER(TRIM('Raw Data'!D120))</f>
        <v>Lagos</v>
      </c>
      <c r="E120" s="3" t="str">
        <f>'Raw Data'!E120</f>
        <v>WhatsApp</v>
      </c>
      <c r="F120" s="3" t="str">
        <f>IF(PROPER(TRIM('Raw Data'!F120))="Accessory","Accessories",PROPER(TRIM('Raw Data'!F120)))</f>
        <v>Accessories</v>
      </c>
      <c r="G120" s="3" t="str">
        <f>'Raw Data'!G120</f>
        <v>Phone Case</v>
      </c>
      <c r="H120" s="3" t="str">
        <f>'Raw Data'!H120</f>
        <v>C1059</v>
      </c>
      <c r="I120" s="3" t="str">
        <f>'Raw Data'!I120</f>
        <v>Returning</v>
      </c>
      <c r="J120" s="3">
        <f>'Raw Data'!J120</f>
        <v>4</v>
      </c>
      <c r="K120" s="5">
        <f>'Raw Data'!K120</f>
        <v>9000</v>
      </c>
      <c r="L120" s="6">
        <f>'Raw Data'!L120</f>
        <v>0</v>
      </c>
      <c r="M120" s="5">
        <f>'Raw Data'!M120</f>
        <v>36000</v>
      </c>
      <c r="N120" s="5">
        <f t="shared" si="5"/>
        <v>36000</v>
      </c>
      <c r="O120" s="5">
        <f>'Raw Data'!N120</f>
        <v>3500</v>
      </c>
      <c r="P120" s="5">
        <f>IF(ISBLANK('Raw Data'!N120),AVERAGEIFS('Raw Data'!$N$2:$N$433,'Raw Data'!$G$2:$G$433,G120),'Raw Data'!N120)</f>
        <v>3500</v>
      </c>
      <c r="Q120" s="5">
        <f t="shared" si="6"/>
        <v>14000</v>
      </c>
      <c r="R120" s="5">
        <f t="shared" si="7"/>
        <v>22000</v>
      </c>
      <c r="S120" s="3" t="str">
        <f>'Raw Data'!O120</f>
        <v>No</v>
      </c>
      <c r="T120" s="3" t="str">
        <f>'Raw Data'!P120</f>
        <v>Fatima</v>
      </c>
      <c r="U120" s="3" t="str">
        <f t="shared" si="8"/>
        <v>June</v>
      </c>
      <c r="V120" s="11">
        <f t="shared" si="9"/>
        <v>0</v>
      </c>
    </row>
    <row r="121" spans="1:22" x14ac:dyDescent="0.25">
      <c r="A121" s="3">
        <f>'Raw Data'!A121</f>
        <v>100120</v>
      </c>
      <c r="B121" s="4">
        <f>'Raw Data'!B121</f>
        <v>46048</v>
      </c>
      <c r="C121" s="3" t="str">
        <f>'Raw Data'!C121</f>
        <v>LG-01</v>
      </c>
      <c r="D121" s="3" t="str">
        <f>PROPER(TRIM('Raw Data'!D121))</f>
        <v>Lagos</v>
      </c>
      <c r="E121" s="3" t="str">
        <f>'Raw Data'!E121</f>
        <v>In-store</v>
      </c>
      <c r="F121" s="3" t="str">
        <f>IF(PROPER(TRIM('Raw Data'!F121))="Accessory","Accessories",PROPER(TRIM('Raw Data'!F121)))</f>
        <v>Electronics</v>
      </c>
      <c r="G121" s="3" t="str">
        <f>'Raw Data'!G121</f>
        <v>Smartphone</v>
      </c>
      <c r="H121" s="3" t="str">
        <f>'Raw Data'!H121</f>
        <v>C1194</v>
      </c>
      <c r="I121" s="3" t="str">
        <f>'Raw Data'!I121</f>
        <v>Returning</v>
      </c>
      <c r="J121" s="3">
        <f>'Raw Data'!J121</f>
        <v>1</v>
      </c>
      <c r="K121" s="5">
        <f>'Raw Data'!K121</f>
        <v>165000</v>
      </c>
      <c r="L121" s="6">
        <f>'Raw Data'!L121</f>
        <v>0</v>
      </c>
      <c r="M121" s="5">
        <f>'Raw Data'!M121</f>
        <v>165000</v>
      </c>
      <c r="N121" s="5">
        <f t="shared" si="5"/>
        <v>165000</v>
      </c>
      <c r="O121" s="5">
        <f>'Raw Data'!N121</f>
        <v>112000</v>
      </c>
      <c r="P121" s="5">
        <f>IF(ISBLANK('Raw Data'!N121),AVERAGEIFS('Raw Data'!$N$2:$N$433,'Raw Data'!$G$2:$G$433,G121),'Raw Data'!N121)</f>
        <v>112000</v>
      </c>
      <c r="Q121" s="5">
        <f t="shared" si="6"/>
        <v>112000</v>
      </c>
      <c r="R121" s="5">
        <f t="shared" si="7"/>
        <v>53000</v>
      </c>
      <c r="S121" s="3" t="str">
        <f>'Raw Data'!O121</f>
        <v>Yes</v>
      </c>
      <c r="T121" s="3" t="str">
        <f>'Raw Data'!P121</f>
        <v>David</v>
      </c>
      <c r="U121" s="3" t="str">
        <f t="shared" si="8"/>
        <v>January</v>
      </c>
      <c r="V121" s="11">
        <f t="shared" si="9"/>
        <v>1</v>
      </c>
    </row>
    <row r="122" spans="1:22" x14ac:dyDescent="0.25">
      <c r="A122" s="3">
        <f>'Raw Data'!A122</f>
        <v>100121</v>
      </c>
      <c r="B122" s="4">
        <f>'Raw Data'!B122</f>
        <v>46248</v>
      </c>
      <c r="C122" s="3" t="str">
        <f>'Raw Data'!C122</f>
        <v>IB-01</v>
      </c>
      <c r="D122" s="3" t="str">
        <f>PROPER(TRIM('Raw Data'!D122))</f>
        <v>Ibadan</v>
      </c>
      <c r="E122" s="3" t="str">
        <f>'Raw Data'!E122</f>
        <v>In-store</v>
      </c>
      <c r="F122" s="3" t="str">
        <f>IF(PROPER(TRIM('Raw Data'!F122))="Accessory","Accessories",PROPER(TRIM('Raw Data'!F122)))</f>
        <v>Accessories</v>
      </c>
      <c r="G122" s="3" t="str">
        <f>'Raw Data'!G122</f>
        <v>Phone Case</v>
      </c>
      <c r="H122" s="3" t="str">
        <f>'Raw Data'!H122</f>
        <v>C1124</v>
      </c>
      <c r="I122" s="3" t="str">
        <f>'Raw Data'!I122</f>
        <v>New</v>
      </c>
      <c r="J122" s="3">
        <f>'Raw Data'!J122</f>
        <v>4</v>
      </c>
      <c r="K122" s="5">
        <f>'Raw Data'!K122</f>
        <v>9000</v>
      </c>
      <c r="L122" s="6">
        <f>'Raw Data'!L122</f>
        <v>0</v>
      </c>
      <c r="M122" s="5">
        <f>'Raw Data'!M122</f>
        <v>32400</v>
      </c>
      <c r="N122" s="5">
        <f t="shared" si="5"/>
        <v>36000</v>
      </c>
      <c r="O122" s="5">
        <f>'Raw Data'!N122</f>
        <v>3500</v>
      </c>
      <c r="P122" s="5">
        <f>IF(ISBLANK('Raw Data'!N122),AVERAGEIFS('Raw Data'!$N$2:$N$433,'Raw Data'!$G$2:$G$433,G122),'Raw Data'!N122)</f>
        <v>3500</v>
      </c>
      <c r="Q122" s="5">
        <f t="shared" si="6"/>
        <v>14000</v>
      </c>
      <c r="R122" s="5">
        <f t="shared" si="7"/>
        <v>22000</v>
      </c>
      <c r="S122" s="3" t="str">
        <f>'Raw Data'!O122</f>
        <v>No</v>
      </c>
      <c r="T122" s="3" t="str">
        <f>'Raw Data'!P122</f>
        <v>Bola</v>
      </c>
      <c r="U122" s="3" t="str">
        <f t="shared" si="8"/>
        <v>August</v>
      </c>
      <c r="V122" s="11">
        <f t="shared" si="9"/>
        <v>0</v>
      </c>
    </row>
    <row r="123" spans="1:22" x14ac:dyDescent="0.25">
      <c r="A123" s="3">
        <f>'Raw Data'!A123</f>
        <v>100122</v>
      </c>
      <c r="B123" s="4">
        <f>'Raw Data'!B123</f>
        <v>46226</v>
      </c>
      <c r="C123" s="3" t="str">
        <f>'Raw Data'!C123</f>
        <v>PH-01</v>
      </c>
      <c r="D123" s="3" t="str">
        <f>PROPER(TRIM('Raw Data'!D123))</f>
        <v>Port Harcourt</v>
      </c>
      <c r="E123" s="3" t="str">
        <f>'Raw Data'!E123</f>
        <v>In-store</v>
      </c>
      <c r="F123" s="3" t="str">
        <f>IF(PROPER(TRIM('Raw Data'!F123))="Accessory","Accessories",PROPER(TRIM('Raw Data'!F123)))</f>
        <v>Home</v>
      </c>
      <c r="G123" s="3" t="str">
        <f>'Raw Data'!G123</f>
        <v>Electric Kettle</v>
      </c>
      <c r="H123" s="3" t="str">
        <f>'Raw Data'!H123</f>
        <v>C1173</v>
      </c>
      <c r="I123" s="3" t="str">
        <f>'Raw Data'!I123</f>
        <v>New</v>
      </c>
      <c r="J123" s="3">
        <f>'Raw Data'!J123</f>
        <v>3</v>
      </c>
      <c r="K123" s="5">
        <f>'Raw Data'!K123</f>
        <v>24000</v>
      </c>
      <c r="L123" s="6">
        <f>'Raw Data'!L123</f>
        <v>0</v>
      </c>
      <c r="M123" s="5">
        <f>'Raw Data'!M123</f>
        <v>72000</v>
      </c>
      <c r="N123" s="5">
        <f t="shared" si="5"/>
        <v>72000</v>
      </c>
      <c r="O123" s="5">
        <f>'Raw Data'!N123</f>
        <v>15000</v>
      </c>
      <c r="P123" s="5">
        <f>IF(ISBLANK('Raw Data'!N123),AVERAGEIFS('Raw Data'!$N$2:$N$433,'Raw Data'!$G$2:$G$433,G123),'Raw Data'!N123)</f>
        <v>15000</v>
      </c>
      <c r="Q123" s="5">
        <f t="shared" si="6"/>
        <v>45000</v>
      </c>
      <c r="R123" s="5">
        <f t="shared" si="7"/>
        <v>27000</v>
      </c>
      <c r="S123" s="3" t="str">
        <f>'Raw Data'!O123</f>
        <v>No</v>
      </c>
      <c r="T123" s="3" t="str">
        <f>'Raw Data'!P123</f>
        <v>Ibrahim</v>
      </c>
      <c r="U123" s="3" t="str">
        <f t="shared" si="8"/>
        <v>July</v>
      </c>
      <c r="V123" s="11">
        <f t="shared" si="9"/>
        <v>0</v>
      </c>
    </row>
    <row r="124" spans="1:22" x14ac:dyDescent="0.25">
      <c r="A124" s="3">
        <f>'Raw Data'!A124</f>
        <v>100123</v>
      </c>
      <c r="B124" s="4">
        <f>'Raw Data'!B124</f>
        <v>46172</v>
      </c>
      <c r="C124" s="3" t="str">
        <f>'Raw Data'!C124</f>
        <v>AB-01</v>
      </c>
      <c r="D124" s="3" t="str">
        <f>PROPER(TRIM('Raw Data'!D124))</f>
        <v>Abuja</v>
      </c>
      <c r="E124" s="3" t="str">
        <f>'Raw Data'!E124</f>
        <v>In-store</v>
      </c>
      <c r="F124" s="3" t="str">
        <f>IF(PROPER(TRIM('Raw Data'!F124))="Accessory","Accessories",PROPER(TRIM('Raw Data'!F124)))</f>
        <v>Electronics</v>
      </c>
      <c r="G124" s="3" t="str">
        <f>'Raw Data'!G124</f>
        <v>Earbuds</v>
      </c>
      <c r="H124" s="3" t="str">
        <f>'Raw Data'!H124</f>
        <v>C1020</v>
      </c>
      <c r="I124" s="3" t="str">
        <f>'Raw Data'!I124</f>
        <v>Returning</v>
      </c>
      <c r="J124" s="3">
        <f>'Raw Data'!J124</f>
        <v>4</v>
      </c>
      <c r="K124" s="5">
        <f>'Raw Data'!K124</f>
        <v>32000</v>
      </c>
      <c r="L124" s="6">
        <f>'Raw Data'!L124</f>
        <v>0.1</v>
      </c>
      <c r="M124" s="5">
        <f>'Raw Data'!M124</f>
        <v>115200</v>
      </c>
      <c r="N124" s="5">
        <f t="shared" si="5"/>
        <v>115200</v>
      </c>
      <c r="O124" s="5">
        <f>'Raw Data'!N124</f>
        <v>19000</v>
      </c>
      <c r="P124" s="5">
        <f>IF(ISBLANK('Raw Data'!N124),AVERAGEIFS('Raw Data'!$N$2:$N$433,'Raw Data'!$G$2:$G$433,G124),'Raw Data'!N124)</f>
        <v>19000</v>
      </c>
      <c r="Q124" s="5">
        <f t="shared" si="6"/>
        <v>76000</v>
      </c>
      <c r="R124" s="5">
        <f t="shared" si="7"/>
        <v>39200</v>
      </c>
      <c r="S124" s="3" t="str">
        <f>'Raw Data'!O124</f>
        <v>No</v>
      </c>
      <c r="T124" s="3" t="str">
        <f>'Raw Data'!P124</f>
        <v>Fatima</v>
      </c>
      <c r="U124" s="3" t="str">
        <f t="shared" si="8"/>
        <v>May</v>
      </c>
      <c r="V124" s="11">
        <f t="shared" si="9"/>
        <v>0</v>
      </c>
    </row>
    <row r="125" spans="1:22" x14ac:dyDescent="0.25">
      <c r="A125" s="3">
        <f>'Raw Data'!A125</f>
        <v>100124</v>
      </c>
      <c r="B125" s="4">
        <f>'Raw Data'!B125</f>
        <v>46227</v>
      </c>
      <c r="C125" s="3" t="str">
        <f>'Raw Data'!C125</f>
        <v>KN-01</v>
      </c>
      <c r="D125" s="3" t="str">
        <f>PROPER(TRIM('Raw Data'!D125))</f>
        <v>Kano</v>
      </c>
      <c r="E125" s="3" t="str">
        <f>'Raw Data'!E125</f>
        <v>Online</v>
      </c>
      <c r="F125" s="3" t="str">
        <f>IF(PROPER(TRIM('Raw Data'!F125))="Accessory","Accessories",PROPER(TRIM('Raw Data'!F125)))</f>
        <v>Electronics</v>
      </c>
      <c r="G125" s="3" t="str">
        <f>'Raw Data'!G125</f>
        <v>Earbuds</v>
      </c>
      <c r="H125" s="3" t="str">
        <f>'Raw Data'!H125</f>
        <v>C1080</v>
      </c>
      <c r="I125" s="3" t="str">
        <f>'Raw Data'!I125</f>
        <v>Returning</v>
      </c>
      <c r="J125" s="3">
        <f>'Raw Data'!J125</f>
        <v>3</v>
      </c>
      <c r="K125" s="5">
        <f>'Raw Data'!K125</f>
        <v>32000</v>
      </c>
      <c r="L125" s="6">
        <f>'Raw Data'!L125</f>
        <v>0.15</v>
      </c>
      <c r="M125" s="5">
        <f>'Raw Data'!M125</f>
        <v>81600</v>
      </c>
      <c r="N125" s="5">
        <f t="shared" si="5"/>
        <v>81600</v>
      </c>
      <c r="O125" s="5">
        <f>'Raw Data'!N125</f>
        <v>19000</v>
      </c>
      <c r="P125" s="5">
        <f>IF(ISBLANK('Raw Data'!N125),AVERAGEIFS('Raw Data'!$N$2:$N$433,'Raw Data'!$G$2:$G$433,G125),'Raw Data'!N125)</f>
        <v>19000</v>
      </c>
      <c r="Q125" s="5">
        <f t="shared" si="6"/>
        <v>57000</v>
      </c>
      <c r="R125" s="5">
        <f t="shared" si="7"/>
        <v>24600</v>
      </c>
      <c r="S125" s="3" t="str">
        <f>'Raw Data'!O125</f>
        <v>No</v>
      </c>
      <c r="T125" s="3" t="str">
        <f>'Raw Data'!P125</f>
        <v>David</v>
      </c>
      <c r="U125" s="3" t="str">
        <f t="shared" si="8"/>
        <v>July</v>
      </c>
      <c r="V125" s="11">
        <f t="shared" si="9"/>
        <v>0</v>
      </c>
    </row>
    <row r="126" spans="1:22" x14ac:dyDescent="0.25">
      <c r="A126" s="3">
        <f>'Raw Data'!A126</f>
        <v>100125</v>
      </c>
      <c r="B126" s="4">
        <f>'Raw Data'!B126</f>
        <v>46081</v>
      </c>
      <c r="C126" s="3" t="str">
        <f>'Raw Data'!C126</f>
        <v>PH-01</v>
      </c>
      <c r="D126" s="3" t="str">
        <f>PROPER(TRIM('Raw Data'!D126))</f>
        <v>Port Harcourt</v>
      </c>
      <c r="E126" s="3" t="str">
        <f>'Raw Data'!E126</f>
        <v>In-store</v>
      </c>
      <c r="F126" s="3" t="str">
        <f>IF(PROPER(TRIM('Raw Data'!F126))="Accessory","Accessories",PROPER(TRIM('Raw Data'!F126)))</f>
        <v>Electronics</v>
      </c>
      <c r="G126" s="3" t="str">
        <f>'Raw Data'!G126</f>
        <v>Earbuds</v>
      </c>
      <c r="H126" s="3" t="str">
        <f>'Raw Data'!H126</f>
        <v>C1184</v>
      </c>
      <c r="I126" s="3" t="str">
        <f>'Raw Data'!I126</f>
        <v>Returning</v>
      </c>
      <c r="J126" s="3">
        <f>'Raw Data'!J126</f>
        <v>3</v>
      </c>
      <c r="K126" s="5">
        <f>'Raw Data'!K126</f>
        <v>32000</v>
      </c>
      <c r="L126" s="6">
        <f>'Raw Data'!L126</f>
        <v>0.15</v>
      </c>
      <c r="M126" s="5">
        <f>'Raw Data'!M126</f>
        <v>81600</v>
      </c>
      <c r="N126" s="5">
        <f t="shared" si="5"/>
        <v>81600</v>
      </c>
      <c r="O126" s="5">
        <f>'Raw Data'!N126</f>
        <v>19000</v>
      </c>
      <c r="P126" s="5">
        <f>IF(ISBLANK('Raw Data'!N126),AVERAGEIFS('Raw Data'!$N$2:$N$433,'Raw Data'!$G$2:$G$433,G126),'Raw Data'!N126)</f>
        <v>19000</v>
      </c>
      <c r="Q126" s="5">
        <f t="shared" si="6"/>
        <v>57000</v>
      </c>
      <c r="R126" s="5">
        <f t="shared" si="7"/>
        <v>24600</v>
      </c>
      <c r="S126" s="3" t="str">
        <f>'Raw Data'!O126</f>
        <v>No</v>
      </c>
      <c r="T126" s="3" t="str">
        <f>'Raw Data'!P126</f>
        <v>Chinedu</v>
      </c>
      <c r="U126" s="3" t="str">
        <f t="shared" si="8"/>
        <v>February</v>
      </c>
      <c r="V126" s="11">
        <f t="shared" si="9"/>
        <v>0</v>
      </c>
    </row>
    <row r="127" spans="1:22" x14ac:dyDescent="0.25">
      <c r="A127" s="3">
        <f>'Raw Data'!A127</f>
        <v>100126</v>
      </c>
      <c r="B127" s="4">
        <f>'Raw Data'!B127</f>
        <v>46221</v>
      </c>
      <c r="C127" s="3" t="str">
        <f>'Raw Data'!C127</f>
        <v>AB-02</v>
      </c>
      <c r="D127" s="3" t="str">
        <f>PROPER(TRIM('Raw Data'!D127))</f>
        <v>Abuja</v>
      </c>
      <c r="E127" s="3" t="str">
        <f>'Raw Data'!E127</f>
        <v>WhatsApp</v>
      </c>
      <c r="F127" s="3" t="str">
        <f>IF(PROPER(TRIM('Raw Data'!F127))="Accessory","Accessories",PROPER(TRIM('Raw Data'!F127)))</f>
        <v>Electronics</v>
      </c>
      <c r="G127" s="3" t="str">
        <f>'Raw Data'!G127</f>
        <v>Smartphone</v>
      </c>
      <c r="H127" s="3" t="str">
        <f>'Raw Data'!H127</f>
        <v>C1004</v>
      </c>
      <c r="I127" s="3" t="str">
        <f>'Raw Data'!I127</f>
        <v>Returning</v>
      </c>
      <c r="J127" s="3">
        <f>'Raw Data'!J127</f>
        <v>2</v>
      </c>
      <c r="K127" s="5">
        <f>'Raw Data'!K127</f>
        <v>165000</v>
      </c>
      <c r="L127" s="6">
        <f>'Raw Data'!L127</f>
        <v>0.25</v>
      </c>
      <c r="M127" s="5">
        <f>'Raw Data'!M127</f>
        <v>247500</v>
      </c>
      <c r="N127" s="5">
        <f t="shared" si="5"/>
        <v>247500</v>
      </c>
      <c r="O127" s="5">
        <f>'Raw Data'!N127</f>
        <v>112000</v>
      </c>
      <c r="P127" s="5">
        <f>IF(ISBLANK('Raw Data'!N127),AVERAGEIFS('Raw Data'!$N$2:$N$433,'Raw Data'!$G$2:$G$433,G127),'Raw Data'!N127)</f>
        <v>112000</v>
      </c>
      <c r="Q127" s="5">
        <f t="shared" si="6"/>
        <v>224000</v>
      </c>
      <c r="R127" s="5">
        <f t="shared" si="7"/>
        <v>23500</v>
      </c>
      <c r="S127" s="3" t="str">
        <f>'Raw Data'!O127</f>
        <v>No</v>
      </c>
      <c r="T127" s="3" t="str">
        <f>'Raw Data'!P127</f>
        <v>Ibrahim</v>
      </c>
      <c r="U127" s="3" t="str">
        <f t="shared" si="8"/>
        <v>July</v>
      </c>
      <c r="V127" s="11">
        <f t="shared" si="9"/>
        <v>0</v>
      </c>
    </row>
    <row r="128" spans="1:22" x14ac:dyDescent="0.25">
      <c r="A128" s="3">
        <f>'Raw Data'!A128</f>
        <v>100127</v>
      </c>
      <c r="B128" s="4">
        <f>'Raw Data'!B128</f>
        <v>46032</v>
      </c>
      <c r="C128" s="3" t="str">
        <f>'Raw Data'!C128</f>
        <v>AB-01</v>
      </c>
      <c r="D128" s="3" t="str">
        <f>PROPER(TRIM('Raw Data'!D128))</f>
        <v>Abuja</v>
      </c>
      <c r="E128" s="3" t="str">
        <f>'Raw Data'!E128</f>
        <v>Online</v>
      </c>
      <c r="F128" s="3" t="str">
        <f>IF(PROPER(TRIM('Raw Data'!F128))="Accessory","Accessories",PROPER(TRIM('Raw Data'!F128)))</f>
        <v>Accessories</v>
      </c>
      <c r="G128" s="3" t="str">
        <f>'Raw Data'!G128</f>
        <v>Phone Case</v>
      </c>
      <c r="H128" s="3" t="str">
        <f>'Raw Data'!H128</f>
        <v>C1129</v>
      </c>
      <c r="I128" s="3" t="str">
        <f>'Raw Data'!I128</f>
        <v>Returning</v>
      </c>
      <c r="J128" s="3">
        <f>'Raw Data'!J128</f>
        <v>3</v>
      </c>
      <c r="K128" s="5">
        <f>'Raw Data'!K128</f>
        <v>9000</v>
      </c>
      <c r="L128" s="6">
        <f>'Raw Data'!L128</f>
        <v>0.25</v>
      </c>
      <c r="M128" s="5">
        <f>'Raw Data'!M128</f>
        <v>20250</v>
      </c>
      <c r="N128" s="5">
        <f t="shared" si="5"/>
        <v>20250</v>
      </c>
      <c r="O128" s="3">
        <f>'Raw Data'!N128</f>
        <v>0</v>
      </c>
      <c r="P128" s="5">
        <f>IF(ISBLANK('Raw Data'!N128),AVERAGEIFS('Raw Data'!$N$2:$N$433,'Raw Data'!$G$2:$G$433,G128),'Raw Data'!N128)</f>
        <v>3500</v>
      </c>
      <c r="Q128" s="5">
        <f t="shared" si="6"/>
        <v>10500</v>
      </c>
      <c r="R128" s="5">
        <f t="shared" si="7"/>
        <v>9750</v>
      </c>
      <c r="S128" s="3" t="str">
        <f>'Raw Data'!O128</f>
        <v>No</v>
      </c>
      <c r="T128" s="3" t="str">
        <f>'Raw Data'!P128</f>
        <v>Bola</v>
      </c>
      <c r="U128" s="3" t="str">
        <f t="shared" si="8"/>
        <v>January</v>
      </c>
      <c r="V128" s="11">
        <f t="shared" si="9"/>
        <v>0</v>
      </c>
    </row>
    <row r="129" spans="1:22" x14ac:dyDescent="0.25">
      <c r="A129" s="3">
        <f>'Raw Data'!A129</f>
        <v>100128</v>
      </c>
      <c r="B129" s="4">
        <f>'Raw Data'!B129</f>
        <v>46113</v>
      </c>
      <c r="C129" s="3" t="str">
        <f>'Raw Data'!C129</f>
        <v>AB-01</v>
      </c>
      <c r="D129" s="3" t="str">
        <f>PROPER(TRIM('Raw Data'!D129))</f>
        <v>Abuja</v>
      </c>
      <c r="E129" s="3" t="str">
        <f>'Raw Data'!E129</f>
        <v>WhatsApp</v>
      </c>
      <c r="F129" s="3" t="str">
        <f>IF(PROPER(TRIM('Raw Data'!F129))="Accessory","Accessories",PROPER(TRIM('Raw Data'!F129)))</f>
        <v>Electronics</v>
      </c>
      <c r="G129" s="3" t="str">
        <f>'Raw Data'!G129</f>
        <v>Smartphone</v>
      </c>
      <c r="H129" s="3" t="str">
        <f>'Raw Data'!H129</f>
        <v>C1124</v>
      </c>
      <c r="I129" s="3" t="str">
        <f>'Raw Data'!I129</f>
        <v>New</v>
      </c>
      <c r="J129" s="3">
        <f>'Raw Data'!J129</f>
        <v>2</v>
      </c>
      <c r="K129" s="5">
        <f>'Raw Data'!K129</f>
        <v>165000</v>
      </c>
      <c r="L129" s="6">
        <f>'Raw Data'!L129</f>
        <v>0</v>
      </c>
      <c r="M129" s="5">
        <f>'Raw Data'!M129</f>
        <v>330000</v>
      </c>
      <c r="N129" s="5">
        <f t="shared" si="5"/>
        <v>330000</v>
      </c>
      <c r="O129" s="3">
        <f>'Raw Data'!N129</f>
        <v>0</v>
      </c>
      <c r="P129" s="5">
        <f>IF(ISBLANK('Raw Data'!N129),AVERAGEIFS('Raw Data'!$N$2:$N$433,'Raw Data'!$G$2:$G$433,G129),'Raw Data'!N129)</f>
        <v>112000</v>
      </c>
      <c r="Q129" s="5">
        <f t="shared" si="6"/>
        <v>224000</v>
      </c>
      <c r="R129" s="5">
        <f t="shared" si="7"/>
        <v>106000</v>
      </c>
      <c r="S129" s="3" t="str">
        <f>'Raw Data'!O129</f>
        <v>No</v>
      </c>
      <c r="T129" s="3" t="str">
        <f>'Raw Data'!P129</f>
        <v>David</v>
      </c>
      <c r="U129" s="3" t="str">
        <f t="shared" si="8"/>
        <v>April</v>
      </c>
      <c r="V129" s="11">
        <f t="shared" si="9"/>
        <v>0</v>
      </c>
    </row>
    <row r="130" spans="1:22" x14ac:dyDescent="0.25">
      <c r="A130" s="3">
        <f>'Raw Data'!A130</f>
        <v>100129</v>
      </c>
      <c r="B130" s="4">
        <f>'Raw Data'!B130</f>
        <v>46114</v>
      </c>
      <c r="C130" s="3" t="str">
        <f>'Raw Data'!C130</f>
        <v>PH-01</v>
      </c>
      <c r="D130" s="3" t="str">
        <f>PROPER(TRIM('Raw Data'!D130))</f>
        <v>Port Harcourt</v>
      </c>
      <c r="E130" s="3" t="str">
        <f>'Raw Data'!E130</f>
        <v>WhatsApp</v>
      </c>
      <c r="F130" s="3" t="str">
        <f>IF(PROPER(TRIM('Raw Data'!F130))="Accessory","Accessories",PROPER(TRIM('Raw Data'!F130)))</f>
        <v>Accessories</v>
      </c>
      <c r="G130" s="3" t="str">
        <f>'Raw Data'!G130</f>
        <v>Backpack</v>
      </c>
      <c r="H130" s="3" t="str">
        <f>'Raw Data'!H130</f>
        <v>C1062</v>
      </c>
      <c r="I130" s="3" t="str">
        <f>'Raw Data'!I130</f>
        <v>New</v>
      </c>
      <c r="J130" s="3">
        <f>'Raw Data'!J130</f>
        <v>2</v>
      </c>
      <c r="K130" s="5">
        <f>'Raw Data'!K130</f>
        <v>28000</v>
      </c>
      <c r="L130" s="6">
        <f>'Raw Data'!L130</f>
        <v>0.05</v>
      </c>
      <c r="M130" s="5">
        <f>'Raw Data'!M130</f>
        <v>53200</v>
      </c>
      <c r="N130" s="5">
        <f t="shared" ref="N130:N193" si="10">J130*K130*(1-L130)</f>
        <v>53200</v>
      </c>
      <c r="O130" s="5">
        <f>'Raw Data'!N130</f>
        <v>16000</v>
      </c>
      <c r="P130" s="5">
        <f>IF(ISBLANK('Raw Data'!N130),AVERAGEIFS('Raw Data'!$N$2:$N$433,'Raw Data'!$G$2:$G$433,G130),'Raw Data'!N130)</f>
        <v>16000</v>
      </c>
      <c r="Q130" s="5">
        <f t="shared" ref="Q130:Q193" si="11">J130*P130</f>
        <v>32000</v>
      </c>
      <c r="R130" s="5">
        <f t="shared" ref="R130:R193" si="12">N130-Q130</f>
        <v>21200</v>
      </c>
      <c r="S130" s="3" t="str">
        <f>'Raw Data'!O130</f>
        <v>No</v>
      </c>
      <c r="T130" s="3" t="str">
        <f>'Raw Data'!P130</f>
        <v>Chinedu</v>
      </c>
      <c r="U130" s="3" t="str">
        <f t="shared" ref="U130:U193" si="13">TEXT(B130,"mmmm")</f>
        <v>April</v>
      </c>
      <c r="V130" s="11">
        <f t="shared" si="9"/>
        <v>0</v>
      </c>
    </row>
    <row r="131" spans="1:22" x14ac:dyDescent="0.25">
      <c r="A131" s="3">
        <f>'Raw Data'!A131</f>
        <v>100130</v>
      </c>
      <c r="B131" s="4">
        <f>'Raw Data'!B131</f>
        <v>46126</v>
      </c>
      <c r="C131" s="3" t="str">
        <f>'Raw Data'!C131</f>
        <v>LG-02</v>
      </c>
      <c r="D131" s="3" t="str">
        <f>PROPER(TRIM('Raw Data'!D131))</f>
        <v>Lagos</v>
      </c>
      <c r="E131" s="3" t="str">
        <f>'Raw Data'!E131</f>
        <v>WhatsApp</v>
      </c>
      <c r="F131" s="3" t="str">
        <f>IF(PROPER(TRIM('Raw Data'!F131))="Accessory","Accessories",PROPER(TRIM('Raw Data'!F131)))</f>
        <v>Accessories</v>
      </c>
      <c r="G131" s="3" t="str">
        <f>'Raw Data'!G131</f>
        <v>Phone Case</v>
      </c>
      <c r="H131" s="3" t="str">
        <f>'Raw Data'!H131</f>
        <v>C1046</v>
      </c>
      <c r="I131" s="3" t="str">
        <f>'Raw Data'!I131</f>
        <v>New</v>
      </c>
      <c r="J131" s="3">
        <f>'Raw Data'!J131</f>
        <v>2</v>
      </c>
      <c r="K131" s="5">
        <f>'Raw Data'!K131</f>
        <v>9000</v>
      </c>
      <c r="L131" s="6">
        <f>'Raw Data'!L131</f>
        <v>0</v>
      </c>
      <c r="M131" s="5">
        <f>'Raw Data'!M131</f>
        <v>18000</v>
      </c>
      <c r="N131" s="5">
        <f t="shared" si="10"/>
        <v>18000</v>
      </c>
      <c r="O131" s="5">
        <f>'Raw Data'!N131</f>
        <v>3500</v>
      </c>
      <c r="P131" s="5">
        <f>IF(ISBLANK('Raw Data'!N131),AVERAGEIFS('Raw Data'!$N$2:$N$433,'Raw Data'!$G$2:$G$433,G131),'Raw Data'!N131)</f>
        <v>3500</v>
      </c>
      <c r="Q131" s="5">
        <f t="shared" si="11"/>
        <v>7000</v>
      </c>
      <c r="R131" s="5">
        <f t="shared" si="12"/>
        <v>11000</v>
      </c>
      <c r="S131" s="3" t="str">
        <f>'Raw Data'!O131</f>
        <v>No</v>
      </c>
      <c r="T131" s="3" t="str">
        <f>'Raw Data'!P131</f>
        <v>Kemi</v>
      </c>
      <c r="U131" s="3" t="str">
        <f t="shared" si="13"/>
        <v>April</v>
      </c>
      <c r="V131" s="11">
        <f t="shared" ref="V131:V194" si="14">IF(S131="No",0,1)</f>
        <v>0</v>
      </c>
    </row>
    <row r="132" spans="1:22" x14ac:dyDescent="0.25">
      <c r="A132" s="3">
        <f>'Raw Data'!A132</f>
        <v>100131</v>
      </c>
      <c r="B132" s="4">
        <f>'Raw Data'!B132</f>
        <v>46090</v>
      </c>
      <c r="C132" s="3" t="str">
        <f>'Raw Data'!C132</f>
        <v>LG-02</v>
      </c>
      <c r="D132" s="3" t="str">
        <f>PROPER(TRIM('Raw Data'!D132))</f>
        <v>Lagos</v>
      </c>
      <c r="E132" s="3" t="str">
        <f>'Raw Data'!E132</f>
        <v>WhatsApp</v>
      </c>
      <c r="F132" s="3" t="str">
        <f>IF(PROPER(TRIM('Raw Data'!F132))="Accessory","Accessories",PROPER(TRIM('Raw Data'!F132)))</f>
        <v>Home</v>
      </c>
      <c r="G132" s="3" t="str">
        <f>'Raw Data'!G132</f>
        <v>Blender</v>
      </c>
      <c r="H132" s="3" t="str">
        <f>'Raw Data'!H132</f>
        <v>C1191</v>
      </c>
      <c r="I132" s="3" t="str">
        <f>'Raw Data'!I132</f>
        <v>New</v>
      </c>
      <c r="J132" s="3">
        <f>'Raw Data'!J132</f>
        <v>1</v>
      </c>
      <c r="K132" s="5">
        <f>'Raw Data'!K132</f>
        <v>42000</v>
      </c>
      <c r="L132" s="6">
        <f>'Raw Data'!L132</f>
        <v>0</v>
      </c>
      <c r="M132" s="5">
        <f>'Raw Data'!M132</f>
        <v>42000</v>
      </c>
      <c r="N132" s="5">
        <f t="shared" si="10"/>
        <v>42000</v>
      </c>
      <c r="O132" s="5">
        <f>'Raw Data'!N132</f>
        <v>28000</v>
      </c>
      <c r="P132" s="5">
        <f>IF(ISBLANK('Raw Data'!N132),AVERAGEIFS('Raw Data'!$N$2:$N$433,'Raw Data'!$G$2:$G$433,G132),'Raw Data'!N132)</f>
        <v>28000</v>
      </c>
      <c r="Q132" s="5">
        <f t="shared" si="11"/>
        <v>28000</v>
      </c>
      <c r="R132" s="5">
        <f t="shared" si="12"/>
        <v>14000</v>
      </c>
      <c r="S132" s="3" t="str">
        <f>'Raw Data'!O132</f>
        <v>No</v>
      </c>
      <c r="T132" s="3" t="str">
        <f>'Raw Data'!P132</f>
        <v>David</v>
      </c>
      <c r="U132" s="3" t="str">
        <f t="shared" si="13"/>
        <v>March</v>
      </c>
      <c r="V132" s="11">
        <f t="shared" si="14"/>
        <v>0</v>
      </c>
    </row>
    <row r="133" spans="1:22" x14ac:dyDescent="0.25">
      <c r="A133" s="3">
        <f>'Raw Data'!A133</f>
        <v>100132</v>
      </c>
      <c r="B133" s="4">
        <f>'Raw Data'!B133</f>
        <v>46258</v>
      </c>
      <c r="C133" s="3" t="str">
        <f>'Raw Data'!C133</f>
        <v>PH-01</v>
      </c>
      <c r="D133" s="3" t="str">
        <f>PROPER(TRIM('Raw Data'!D133))</f>
        <v>Port Harcourt</v>
      </c>
      <c r="E133" s="3" t="str">
        <f>'Raw Data'!E133</f>
        <v>In-store</v>
      </c>
      <c r="F133" s="3" t="str">
        <f>IF(PROPER(TRIM('Raw Data'!F133))="Accessory","Accessories",PROPER(TRIM('Raw Data'!F133)))</f>
        <v>Electronics</v>
      </c>
      <c r="G133" s="3" t="str">
        <f>'Raw Data'!G133</f>
        <v>Power Bank</v>
      </c>
      <c r="H133" s="3" t="str">
        <f>'Raw Data'!H133</f>
        <v>C1076</v>
      </c>
      <c r="I133" s="3" t="str">
        <f>'Raw Data'!I133</f>
        <v>Returning</v>
      </c>
      <c r="J133" s="3">
        <f>'Raw Data'!J133</f>
        <v>4</v>
      </c>
      <c r="K133" s="5">
        <f>'Raw Data'!K133</f>
        <v>26000</v>
      </c>
      <c r="L133" s="6">
        <f>'Raw Data'!L133</f>
        <v>0</v>
      </c>
      <c r="M133" s="5">
        <f>'Raw Data'!M133</f>
        <v>104000</v>
      </c>
      <c r="N133" s="5">
        <f t="shared" si="10"/>
        <v>104000</v>
      </c>
      <c r="O133" s="5">
        <f>'Raw Data'!N133</f>
        <v>15000</v>
      </c>
      <c r="P133" s="5">
        <f>IF(ISBLANK('Raw Data'!N133),AVERAGEIFS('Raw Data'!$N$2:$N$433,'Raw Data'!$G$2:$G$433,G133),'Raw Data'!N133)</f>
        <v>15000</v>
      </c>
      <c r="Q133" s="5">
        <f t="shared" si="11"/>
        <v>60000</v>
      </c>
      <c r="R133" s="5">
        <f t="shared" si="12"/>
        <v>44000</v>
      </c>
      <c r="S133" s="3" t="str">
        <f>'Raw Data'!O133</f>
        <v>No</v>
      </c>
      <c r="T133" s="3" t="str">
        <f>'Raw Data'!P133</f>
        <v>Aisha</v>
      </c>
      <c r="U133" s="3" t="str">
        <f t="shared" si="13"/>
        <v>August</v>
      </c>
      <c r="V133" s="11">
        <f t="shared" si="14"/>
        <v>0</v>
      </c>
    </row>
    <row r="134" spans="1:22" x14ac:dyDescent="0.25">
      <c r="A134" s="3">
        <f>'Raw Data'!A134</f>
        <v>100133</v>
      </c>
      <c r="B134" s="4">
        <f>'Raw Data'!B134</f>
        <v>46202</v>
      </c>
      <c r="C134" s="3" t="str">
        <f>'Raw Data'!C134</f>
        <v>KN-01</v>
      </c>
      <c r="D134" s="3" t="str">
        <f>PROPER(TRIM('Raw Data'!D134))</f>
        <v>Kano</v>
      </c>
      <c r="E134" s="3" t="str">
        <f>'Raw Data'!E134</f>
        <v>In-store</v>
      </c>
      <c r="F134" s="3" t="str">
        <f>IF(PROPER(TRIM('Raw Data'!F134))="Accessory","Accessories",PROPER(TRIM('Raw Data'!F134)))</f>
        <v>Home</v>
      </c>
      <c r="G134" s="3" t="str">
        <f>'Raw Data'!G134</f>
        <v>Electric Kettle</v>
      </c>
      <c r="H134" s="3" t="str">
        <f>'Raw Data'!H134</f>
        <v>C1153</v>
      </c>
      <c r="I134" s="3" t="str">
        <f>'Raw Data'!I134</f>
        <v>Returning</v>
      </c>
      <c r="J134" s="3">
        <f>'Raw Data'!J134</f>
        <v>1</v>
      </c>
      <c r="K134" s="5">
        <f>'Raw Data'!K134</f>
        <v>24000</v>
      </c>
      <c r="L134" s="6">
        <f>'Raw Data'!L134</f>
        <v>0</v>
      </c>
      <c r="M134" s="5">
        <f>'Raw Data'!M134</f>
        <v>24000</v>
      </c>
      <c r="N134" s="5">
        <f t="shared" si="10"/>
        <v>24000</v>
      </c>
      <c r="O134" s="5">
        <f>'Raw Data'!N134</f>
        <v>15000</v>
      </c>
      <c r="P134" s="5">
        <f>IF(ISBLANK('Raw Data'!N134),AVERAGEIFS('Raw Data'!$N$2:$N$433,'Raw Data'!$G$2:$G$433,G134),'Raw Data'!N134)</f>
        <v>15000</v>
      </c>
      <c r="Q134" s="5">
        <f t="shared" si="11"/>
        <v>15000</v>
      </c>
      <c r="R134" s="5">
        <f t="shared" si="12"/>
        <v>9000</v>
      </c>
      <c r="S134" s="3" t="str">
        <f>'Raw Data'!O134</f>
        <v>No</v>
      </c>
      <c r="T134" s="3" t="str">
        <f>'Raw Data'!P134</f>
        <v>Kemi</v>
      </c>
      <c r="U134" s="3" t="str">
        <f t="shared" si="13"/>
        <v>June</v>
      </c>
      <c r="V134" s="11">
        <f t="shared" si="14"/>
        <v>0</v>
      </c>
    </row>
    <row r="135" spans="1:22" x14ac:dyDescent="0.25">
      <c r="A135" s="3">
        <f>'Raw Data'!A135</f>
        <v>100134</v>
      </c>
      <c r="B135" s="4">
        <f>'Raw Data'!B135</f>
        <v>46145</v>
      </c>
      <c r="C135" s="3" t="str">
        <f>'Raw Data'!C135</f>
        <v>AB-02</v>
      </c>
      <c r="D135" s="3" t="str">
        <f>PROPER(TRIM('Raw Data'!D135))</f>
        <v>Abuja</v>
      </c>
      <c r="E135" s="3" t="str">
        <f>'Raw Data'!E135</f>
        <v>Online</v>
      </c>
      <c r="F135" s="3" t="str">
        <f>IF(PROPER(TRIM('Raw Data'!F135))="Accessory","Accessories",PROPER(TRIM('Raw Data'!F135)))</f>
        <v>Home</v>
      </c>
      <c r="G135" s="3" t="str">
        <f>'Raw Data'!G135</f>
        <v>Standing Fan</v>
      </c>
      <c r="H135" s="3" t="str">
        <f>'Raw Data'!H135</f>
        <v>C1016</v>
      </c>
      <c r="I135" s="3" t="str">
        <f>'Raw Data'!I135</f>
        <v>Returning</v>
      </c>
      <c r="J135" s="3">
        <f>'Raw Data'!J135</f>
        <v>3</v>
      </c>
      <c r="K135" s="5">
        <f>'Raw Data'!K135</f>
        <v>58000</v>
      </c>
      <c r="L135" s="6">
        <f>'Raw Data'!L135</f>
        <v>0.25</v>
      </c>
      <c r="M135" s="5">
        <f>'Raw Data'!M135</f>
        <v>130500</v>
      </c>
      <c r="N135" s="5">
        <f t="shared" si="10"/>
        <v>130500</v>
      </c>
      <c r="O135" s="5">
        <f>'Raw Data'!N135</f>
        <v>39000</v>
      </c>
      <c r="P135" s="5">
        <f>IF(ISBLANK('Raw Data'!N135),AVERAGEIFS('Raw Data'!$N$2:$N$433,'Raw Data'!$G$2:$G$433,G135),'Raw Data'!N135)</f>
        <v>39000</v>
      </c>
      <c r="Q135" s="5">
        <f t="shared" si="11"/>
        <v>117000</v>
      </c>
      <c r="R135" s="5">
        <f t="shared" si="12"/>
        <v>13500</v>
      </c>
      <c r="S135" s="3" t="str">
        <f>'Raw Data'!O135</f>
        <v>No</v>
      </c>
      <c r="T135" s="3" t="str">
        <f>'Raw Data'!P135</f>
        <v>Ibrahim</v>
      </c>
      <c r="U135" s="3" t="str">
        <f t="shared" si="13"/>
        <v>May</v>
      </c>
      <c r="V135" s="11">
        <f t="shared" si="14"/>
        <v>0</v>
      </c>
    </row>
    <row r="136" spans="1:22" x14ac:dyDescent="0.25">
      <c r="A136" s="3">
        <f>'Raw Data'!A136</f>
        <v>100135</v>
      </c>
      <c r="B136" s="4">
        <f>'Raw Data'!B136</f>
        <v>46121</v>
      </c>
      <c r="C136" s="3" t="str">
        <f>'Raw Data'!C136</f>
        <v>KN-01</v>
      </c>
      <c r="D136" s="3" t="str">
        <f>PROPER(TRIM('Raw Data'!D136))</f>
        <v>Kano</v>
      </c>
      <c r="E136" s="3" t="str">
        <f>'Raw Data'!E136</f>
        <v>WhatsApp</v>
      </c>
      <c r="F136" s="3" t="str">
        <f>IF(PROPER(TRIM('Raw Data'!F136))="Accessory","Accessories",PROPER(TRIM('Raw Data'!F136)))</f>
        <v>Home</v>
      </c>
      <c r="G136" s="3" t="str">
        <f>'Raw Data'!G136</f>
        <v>Electric Kettle</v>
      </c>
      <c r="H136" s="3" t="str">
        <f>'Raw Data'!H136</f>
        <v>C1003</v>
      </c>
      <c r="I136" s="3" t="str">
        <f>'Raw Data'!I136</f>
        <v>Returning</v>
      </c>
      <c r="J136" s="3">
        <f>'Raw Data'!J136</f>
        <v>1</v>
      </c>
      <c r="K136" s="5">
        <f>'Raw Data'!K136</f>
        <v>24000</v>
      </c>
      <c r="L136" s="6">
        <f>'Raw Data'!L136</f>
        <v>0.15</v>
      </c>
      <c r="M136" s="5">
        <f>'Raw Data'!M136</f>
        <v>20400</v>
      </c>
      <c r="N136" s="5">
        <f t="shared" si="10"/>
        <v>20400</v>
      </c>
      <c r="O136" s="5">
        <f>'Raw Data'!N136</f>
        <v>15000</v>
      </c>
      <c r="P136" s="5">
        <f>IF(ISBLANK('Raw Data'!N136),AVERAGEIFS('Raw Data'!$N$2:$N$433,'Raw Data'!$G$2:$G$433,G136),'Raw Data'!N136)</f>
        <v>15000</v>
      </c>
      <c r="Q136" s="5">
        <f t="shared" si="11"/>
        <v>15000</v>
      </c>
      <c r="R136" s="5">
        <f t="shared" si="12"/>
        <v>5400</v>
      </c>
      <c r="S136" s="3" t="str">
        <f>'Raw Data'!O136</f>
        <v>No</v>
      </c>
      <c r="T136" s="3" t="str">
        <f>'Raw Data'!P136</f>
        <v>Kemi</v>
      </c>
      <c r="U136" s="3" t="str">
        <f t="shared" si="13"/>
        <v>April</v>
      </c>
      <c r="V136" s="11">
        <f t="shared" si="14"/>
        <v>0</v>
      </c>
    </row>
    <row r="137" spans="1:22" x14ac:dyDescent="0.25">
      <c r="A137" s="3">
        <f>'Raw Data'!A137</f>
        <v>100136</v>
      </c>
      <c r="B137" s="4">
        <f>'Raw Data'!B137</f>
        <v>46062</v>
      </c>
      <c r="C137" s="3" t="str">
        <f>'Raw Data'!C137</f>
        <v>KN-01</v>
      </c>
      <c r="D137" s="3" t="str">
        <f>PROPER(TRIM('Raw Data'!D137))</f>
        <v>Kano</v>
      </c>
      <c r="E137" s="3" t="str">
        <f>'Raw Data'!E137</f>
        <v>In-store</v>
      </c>
      <c r="F137" s="3" t="str">
        <f>IF(PROPER(TRIM('Raw Data'!F137))="Accessory","Accessories",PROPER(TRIM('Raw Data'!F137)))</f>
        <v>Electronics</v>
      </c>
      <c r="G137" s="3" t="str">
        <f>'Raw Data'!G137</f>
        <v>Power Bank</v>
      </c>
      <c r="H137" s="3" t="str">
        <f>'Raw Data'!H137</f>
        <v>C1149</v>
      </c>
      <c r="I137" s="3" t="str">
        <f>'Raw Data'!I137</f>
        <v>New</v>
      </c>
      <c r="J137" s="3">
        <f>'Raw Data'!J137</f>
        <v>2</v>
      </c>
      <c r="K137" s="5">
        <f>'Raw Data'!K137</f>
        <v>26000</v>
      </c>
      <c r="L137" s="6">
        <f>'Raw Data'!L137</f>
        <v>0.15</v>
      </c>
      <c r="M137" s="5">
        <f>'Raw Data'!M137</f>
        <v>44200</v>
      </c>
      <c r="N137" s="5">
        <f t="shared" si="10"/>
        <v>44200</v>
      </c>
      <c r="O137" s="5">
        <f>'Raw Data'!N137</f>
        <v>15000</v>
      </c>
      <c r="P137" s="5">
        <f>IF(ISBLANK('Raw Data'!N137),AVERAGEIFS('Raw Data'!$N$2:$N$433,'Raw Data'!$G$2:$G$433,G137),'Raw Data'!N137)</f>
        <v>15000</v>
      </c>
      <c r="Q137" s="5">
        <f t="shared" si="11"/>
        <v>30000</v>
      </c>
      <c r="R137" s="5">
        <f t="shared" si="12"/>
        <v>14200</v>
      </c>
      <c r="S137" s="3" t="str">
        <f>'Raw Data'!O137</f>
        <v>No</v>
      </c>
      <c r="T137" s="3" t="str">
        <f>'Raw Data'!P137</f>
        <v>Fatima</v>
      </c>
      <c r="U137" s="3" t="str">
        <f t="shared" si="13"/>
        <v>February</v>
      </c>
      <c r="V137" s="11">
        <f t="shared" si="14"/>
        <v>0</v>
      </c>
    </row>
    <row r="138" spans="1:22" x14ac:dyDescent="0.25">
      <c r="A138" s="3">
        <f>'Raw Data'!A138</f>
        <v>100137</v>
      </c>
      <c r="B138" s="4">
        <f>'Raw Data'!B138</f>
        <v>46151</v>
      </c>
      <c r="C138" s="3" t="str">
        <f>'Raw Data'!C138</f>
        <v>LG-01</v>
      </c>
      <c r="D138" s="3" t="str">
        <f>PROPER(TRIM('Raw Data'!D138))</f>
        <v>Lagos</v>
      </c>
      <c r="E138" s="3" t="str">
        <f>'Raw Data'!E138</f>
        <v>Online</v>
      </c>
      <c r="F138" s="3" t="str">
        <f>IF(PROPER(TRIM('Raw Data'!F138))="Accessory","Accessories",PROPER(TRIM('Raw Data'!F138)))</f>
        <v>Home</v>
      </c>
      <c r="G138" s="3" t="str">
        <f>'Raw Data'!G138</f>
        <v>Blender</v>
      </c>
      <c r="H138" s="3" t="str">
        <f>'Raw Data'!H138</f>
        <v>C1072</v>
      </c>
      <c r="I138" s="3" t="str">
        <f>'Raw Data'!I138</f>
        <v>Returning</v>
      </c>
      <c r="J138" s="3">
        <f>'Raw Data'!J138</f>
        <v>2</v>
      </c>
      <c r="K138" s="5">
        <f>'Raw Data'!K138</f>
        <v>42000</v>
      </c>
      <c r="L138" s="6">
        <f>'Raw Data'!L138</f>
        <v>0</v>
      </c>
      <c r="M138" s="5">
        <f>'Raw Data'!M138</f>
        <v>84000</v>
      </c>
      <c r="N138" s="5">
        <f t="shared" si="10"/>
        <v>84000</v>
      </c>
      <c r="O138" s="5">
        <f>'Raw Data'!N138</f>
        <v>28000</v>
      </c>
      <c r="P138" s="5">
        <f>IF(ISBLANK('Raw Data'!N138),AVERAGEIFS('Raw Data'!$N$2:$N$433,'Raw Data'!$G$2:$G$433,G138),'Raw Data'!N138)</f>
        <v>28000</v>
      </c>
      <c r="Q138" s="5">
        <f t="shared" si="11"/>
        <v>56000</v>
      </c>
      <c r="R138" s="5">
        <f t="shared" si="12"/>
        <v>28000</v>
      </c>
      <c r="S138" s="3" t="str">
        <f>'Raw Data'!O138</f>
        <v>No</v>
      </c>
      <c r="T138" s="3" t="str">
        <f>'Raw Data'!P138</f>
        <v>David</v>
      </c>
      <c r="U138" s="3" t="str">
        <f t="shared" si="13"/>
        <v>May</v>
      </c>
      <c r="V138" s="11">
        <f t="shared" si="14"/>
        <v>0</v>
      </c>
    </row>
    <row r="139" spans="1:22" x14ac:dyDescent="0.25">
      <c r="A139" s="3">
        <f>'Raw Data'!A139</f>
        <v>100138</v>
      </c>
      <c r="B139" s="4">
        <f>'Raw Data'!B139</f>
        <v>46137</v>
      </c>
      <c r="C139" s="3" t="str">
        <f>'Raw Data'!C139</f>
        <v>IB-01</v>
      </c>
      <c r="D139" s="3" t="str">
        <f>PROPER(TRIM('Raw Data'!D139))</f>
        <v>Ibadan</v>
      </c>
      <c r="E139" s="3" t="str">
        <f>'Raw Data'!E139</f>
        <v>In-store</v>
      </c>
      <c r="F139" s="3" t="str">
        <f>IF(PROPER(TRIM('Raw Data'!F139))="Accessory","Accessories",PROPER(TRIM('Raw Data'!F139)))</f>
        <v>Electronics</v>
      </c>
      <c r="G139" s="3" t="str">
        <f>'Raw Data'!G139</f>
        <v>Earbuds</v>
      </c>
      <c r="H139" s="3" t="str">
        <f>'Raw Data'!H139</f>
        <v>C1161</v>
      </c>
      <c r="I139" s="3" t="str">
        <f>'Raw Data'!I139</f>
        <v>Returning</v>
      </c>
      <c r="J139" s="3">
        <f>'Raw Data'!J139</f>
        <v>4</v>
      </c>
      <c r="K139" s="5">
        <f>'Raw Data'!K139</f>
        <v>32000</v>
      </c>
      <c r="L139" s="6">
        <f>'Raw Data'!L139</f>
        <v>0</v>
      </c>
      <c r="M139" s="5">
        <f>'Raw Data'!M139</f>
        <v>128000</v>
      </c>
      <c r="N139" s="5">
        <f t="shared" si="10"/>
        <v>128000</v>
      </c>
      <c r="O139" s="5">
        <f>'Raw Data'!N139</f>
        <v>19000</v>
      </c>
      <c r="P139" s="5">
        <f>IF(ISBLANK('Raw Data'!N139),AVERAGEIFS('Raw Data'!$N$2:$N$433,'Raw Data'!$G$2:$G$433,G139),'Raw Data'!N139)</f>
        <v>19000</v>
      </c>
      <c r="Q139" s="5">
        <f t="shared" si="11"/>
        <v>76000</v>
      </c>
      <c r="R139" s="5">
        <f t="shared" si="12"/>
        <v>52000</v>
      </c>
      <c r="S139" s="3" t="str">
        <f>'Raw Data'!O139</f>
        <v>No</v>
      </c>
      <c r="T139" s="3" t="str">
        <f>'Raw Data'!P139</f>
        <v>Fatima</v>
      </c>
      <c r="U139" s="3" t="str">
        <f t="shared" si="13"/>
        <v>April</v>
      </c>
      <c r="V139" s="11">
        <f t="shared" si="14"/>
        <v>0</v>
      </c>
    </row>
    <row r="140" spans="1:22" x14ac:dyDescent="0.25">
      <c r="A140" s="3">
        <f>'Raw Data'!A140</f>
        <v>100139</v>
      </c>
      <c r="B140" s="4">
        <f>'Raw Data'!B140</f>
        <v>46056</v>
      </c>
      <c r="C140" s="3" t="str">
        <f>'Raw Data'!C140</f>
        <v>LG-01</v>
      </c>
      <c r="D140" s="3" t="str">
        <f>PROPER(TRIM('Raw Data'!D140))</f>
        <v>Lagos</v>
      </c>
      <c r="E140" s="3" t="str">
        <f>'Raw Data'!E140</f>
        <v>In-store</v>
      </c>
      <c r="F140" s="3" t="str">
        <f>IF(PROPER(TRIM('Raw Data'!F140))="Accessory","Accessories",PROPER(TRIM('Raw Data'!F140)))</f>
        <v>Accessories</v>
      </c>
      <c r="G140" s="3" t="str">
        <f>'Raw Data'!G140</f>
        <v>Backpack</v>
      </c>
      <c r="H140" s="3" t="str">
        <f>'Raw Data'!H140</f>
        <v>C1146</v>
      </c>
      <c r="I140" s="3" t="str">
        <f>'Raw Data'!I140</f>
        <v>New</v>
      </c>
      <c r="J140" s="3">
        <f>'Raw Data'!J140</f>
        <v>3</v>
      </c>
      <c r="K140" s="5">
        <f>'Raw Data'!K140</f>
        <v>28000</v>
      </c>
      <c r="L140" s="6">
        <f>'Raw Data'!L140</f>
        <v>0.05</v>
      </c>
      <c r="M140" s="5">
        <f>'Raw Data'!M140</f>
        <v>79800</v>
      </c>
      <c r="N140" s="5">
        <f t="shared" si="10"/>
        <v>79800</v>
      </c>
      <c r="O140" s="5">
        <f>'Raw Data'!N140</f>
        <v>16000</v>
      </c>
      <c r="P140" s="5">
        <f>IF(ISBLANK('Raw Data'!N140),AVERAGEIFS('Raw Data'!$N$2:$N$433,'Raw Data'!$G$2:$G$433,G140),'Raw Data'!N140)</f>
        <v>16000</v>
      </c>
      <c r="Q140" s="5">
        <f t="shared" si="11"/>
        <v>48000</v>
      </c>
      <c r="R140" s="5">
        <f t="shared" si="12"/>
        <v>31800</v>
      </c>
      <c r="S140" s="3" t="str">
        <f>'Raw Data'!O140</f>
        <v>No</v>
      </c>
      <c r="T140" s="3" t="str">
        <f>'Raw Data'!P140</f>
        <v>Bola</v>
      </c>
      <c r="U140" s="3" t="str">
        <f t="shared" si="13"/>
        <v>February</v>
      </c>
      <c r="V140" s="11">
        <f t="shared" si="14"/>
        <v>0</v>
      </c>
    </row>
    <row r="141" spans="1:22" x14ac:dyDescent="0.25">
      <c r="A141" s="3">
        <f>'Raw Data'!A141</f>
        <v>100140</v>
      </c>
      <c r="B141" s="4">
        <f>'Raw Data'!B141</f>
        <v>46100</v>
      </c>
      <c r="C141" s="3" t="str">
        <f>'Raw Data'!C141</f>
        <v>LG-02</v>
      </c>
      <c r="D141" s="3" t="str">
        <f>PROPER(TRIM('Raw Data'!D141))</f>
        <v>Lagos</v>
      </c>
      <c r="E141" s="3" t="str">
        <f>'Raw Data'!E141</f>
        <v>In-store</v>
      </c>
      <c r="F141" s="3" t="str">
        <f>IF(PROPER(TRIM('Raw Data'!F141))="Accessory","Accessories",PROPER(TRIM('Raw Data'!F141)))</f>
        <v>Accessories</v>
      </c>
      <c r="G141" s="3" t="str">
        <f>'Raw Data'!G141</f>
        <v>USB Cable</v>
      </c>
      <c r="H141" s="3" t="str">
        <f>'Raw Data'!H141</f>
        <v>C1002</v>
      </c>
      <c r="I141" s="3" t="str">
        <f>'Raw Data'!I141</f>
        <v>Returning</v>
      </c>
      <c r="J141" s="3">
        <f>'Raw Data'!J141</f>
        <v>2</v>
      </c>
      <c r="K141" s="5">
        <f>'Raw Data'!K141</f>
        <v>6500</v>
      </c>
      <c r="L141" s="6">
        <f>'Raw Data'!L141</f>
        <v>0.15</v>
      </c>
      <c r="M141" s="5">
        <f>'Raw Data'!M141</f>
        <v>11050</v>
      </c>
      <c r="N141" s="5">
        <f t="shared" si="10"/>
        <v>11050</v>
      </c>
      <c r="O141" s="5">
        <f>'Raw Data'!N141</f>
        <v>2200</v>
      </c>
      <c r="P141" s="5">
        <f>IF(ISBLANK('Raw Data'!N141),AVERAGEIFS('Raw Data'!$N$2:$N$433,'Raw Data'!$G$2:$G$433,G141),'Raw Data'!N141)</f>
        <v>2200</v>
      </c>
      <c r="Q141" s="5">
        <f t="shared" si="11"/>
        <v>4400</v>
      </c>
      <c r="R141" s="5">
        <f t="shared" si="12"/>
        <v>6650</v>
      </c>
      <c r="S141" s="3" t="str">
        <f>'Raw Data'!O141</f>
        <v>No</v>
      </c>
      <c r="T141" s="3" t="str">
        <f>'Raw Data'!P141</f>
        <v>Ibrahim</v>
      </c>
      <c r="U141" s="3" t="str">
        <f t="shared" si="13"/>
        <v>March</v>
      </c>
      <c r="V141" s="11">
        <f t="shared" si="14"/>
        <v>0</v>
      </c>
    </row>
    <row r="142" spans="1:22" x14ac:dyDescent="0.25">
      <c r="A142" s="3">
        <f>'Raw Data'!A142</f>
        <v>100141</v>
      </c>
      <c r="B142" s="4">
        <f>'Raw Data'!B142</f>
        <v>46043</v>
      </c>
      <c r="C142" s="3" t="str">
        <f>'Raw Data'!C142</f>
        <v>LG-02</v>
      </c>
      <c r="D142" s="3" t="str">
        <f>PROPER(TRIM('Raw Data'!D142))</f>
        <v>Lagos</v>
      </c>
      <c r="E142" s="3" t="str">
        <f>'Raw Data'!E142</f>
        <v>In-store</v>
      </c>
      <c r="F142" s="3" t="str">
        <f>IF(PROPER(TRIM('Raw Data'!F142))="Accessory","Accessories",PROPER(TRIM('Raw Data'!F142)))</f>
        <v>Home</v>
      </c>
      <c r="G142" s="3" t="str">
        <f>'Raw Data'!G142</f>
        <v>Blender</v>
      </c>
      <c r="H142" s="3" t="str">
        <f>'Raw Data'!H142</f>
        <v>C1068</v>
      </c>
      <c r="I142" s="3" t="str">
        <f>'Raw Data'!I142</f>
        <v>Returning</v>
      </c>
      <c r="J142" s="3">
        <f>'Raw Data'!J142</f>
        <v>18</v>
      </c>
      <c r="K142" s="5">
        <f>'Raw Data'!K142</f>
        <v>42000</v>
      </c>
      <c r="L142" s="6">
        <f>'Raw Data'!L142</f>
        <v>0</v>
      </c>
      <c r="M142" s="5">
        <f>'Raw Data'!M142</f>
        <v>756000</v>
      </c>
      <c r="N142" s="5">
        <f t="shared" si="10"/>
        <v>756000</v>
      </c>
      <c r="O142" s="5">
        <f>'Raw Data'!N142</f>
        <v>28000</v>
      </c>
      <c r="P142" s="5">
        <f>IF(ISBLANK('Raw Data'!N142),AVERAGEIFS('Raw Data'!$N$2:$N$433,'Raw Data'!$G$2:$G$433,G142),'Raw Data'!N142)</f>
        <v>28000</v>
      </c>
      <c r="Q142" s="5">
        <f t="shared" si="11"/>
        <v>504000</v>
      </c>
      <c r="R142" s="5">
        <f t="shared" si="12"/>
        <v>252000</v>
      </c>
      <c r="S142" s="3" t="str">
        <f>'Raw Data'!O142</f>
        <v>No</v>
      </c>
      <c r="T142" s="3" t="str">
        <f>'Raw Data'!P142</f>
        <v>Ibrahim</v>
      </c>
      <c r="U142" s="3" t="str">
        <f t="shared" si="13"/>
        <v>January</v>
      </c>
      <c r="V142" s="11">
        <f t="shared" si="14"/>
        <v>0</v>
      </c>
    </row>
    <row r="143" spans="1:22" x14ac:dyDescent="0.25">
      <c r="A143" s="3">
        <f>'Raw Data'!A143</f>
        <v>100142</v>
      </c>
      <c r="B143" s="4">
        <f>'Raw Data'!B143</f>
        <v>46129</v>
      </c>
      <c r="C143" s="3" t="str">
        <f>'Raw Data'!C143</f>
        <v>IB-01</v>
      </c>
      <c r="D143" s="3" t="str">
        <f>PROPER(TRIM('Raw Data'!D143))</f>
        <v>Ibadan</v>
      </c>
      <c r="E143" s="3" t="str">
        <f>'Raw Data'!E143</f>
        <v>Online</v>
      </c>
      <c r="F143" s="3" t="str">
        <f>IF(PROPER(TRIM('Raw Data'!F143))="Accessory","Accessories",PROPER(TRIM('Raw Data'!F143)))</f>
        <v>Electronics</v>
      </c>
      <c r="G143" s="3" t="str">
        <f>'Raw Data'!G143</f>
        <v>Earbuds</v>
      </c>
      <c r="H143" s="3" t="str">
        <f>'Raw Data'!H143</f>
        <v>C1088</v>
      </c>
      <c r="I143" s="3" t="str">
        <f>'Raw Data'!I143</f>
        <v>New</v>
      </c>
      <c r="J143" s="3">
        <f>'Raw Data'!J143</f>
        <v>1</v>
      </c>
      <c r="K143" s="5">
        <f>'Raw Data'!K143</f>
        <v>32000</v>
      </c>
      <c r="L143" s="6">
        <f>'Raw Data'!L143</f>
        <v>0</v>
      </c>
      <c r="M143" s="5">
        <f>'Raw Data'!M143</f>
        <v>32000</v>
      </c>
      <c r="N143" s="5">
        <f t="shared" si="10"/>
        <v>32000</v>
      </c>
      <c r="O143" s="5">
        <f>'Raw Data'!N143</f>
        <v>19000</v>
      </c>
      <c r="P143" s="5">
        <f>IF(ISBLANK('Raw Data'!N143),AVERAGEIFS('Raw Data'!$N$2:$N$433,'Raw Data'!$G$2:$G$433,G143),'Raw Data'!N143)</f>
        <v>19000</v>
      </c>
      <c r="Q143" s="5">
        <f t="shared" si="11"/>
        <v>19000</v>
      </c>
      <c r="R143" s="5">
        <f t="shared" si="12"/>
        <v>13000</v>
      </c>
      <c r="S143" s="3" t="str">
        <f>'Raw Data'!O143</f>
        <v>No</v>
      </c>
      <c r="T143" s="3" t="str">
        <f>'Raw Data'!P143</f>
        <v>Kemi</v>
      </c>
      <c r="U143" s="3" t="str">
        <f t="shared" si="13"/>
        <v>April</v>
      </c>
      <c r="V143" s="11">
        <f t="shared" si="14"/>
        <v>0</v>
      </c>
    </row>
    <row r="144" spans="1:22" x14ac:dyDescent="0.25">
      <c r="A144" s="3">
        <f>'Raw Data'!A144</f>
        <v>100143</v>
      </c>
      <c r="B144" s="4">
        <f>'Raw Data'!B144</f>
        <v>46187</v>
      </c>
      <c r="C144" s="3" t="str">
        <f>'Raw Data'!C144</f>
        <v>LG-02</v>
      </c>
      <c r="D144" s="3" t="str">
        <f>PROPER(TRIM('Raw Data'!D144))</f>
        <v>Lagos</v>
      </c>
      <c r="E144" s="3" t="str">
        <f>'Raw Data'!E144</f>
        <v>In-store</v>
      </c>
      <c r="F144" s="3" t="str">
        <f>IF(PROPER(TRIM('Raw Data'!F144))="Accessory","Accessories",PROPER(TRIM('Raw Data'!F144)))</f>
        <v>Electronics</v>
      </c>
      <c r="G144" s="3" t="str">
        <f>'Raw Data'!G144</f>
        <v>Smartphone</v>
      </c>
      <c r="H144" s="3" t="str">
        <f>'Raw Data'!H144</f>
        <v>C1164</v>
      </c>
      <c r="I144" s="3" t="str">
        <f>'Raw Data'!I144</f>
        <v>Returning</v>
      </c>
      <c r="J144" s="3">
        <f>'Raw Data'!J144</f>
        <v>2</v>
      </c>
      <c r="K144" s="5">
        <f>'Raw Data'!K144</f>
        <v>165000</v>
      </c>
      <c r="L144" s="6">
        <f>'Raw Data'!L144</f>
        <v>0</v>
      </c>
      <c r="M144" s="5">
        <f>'Raw Data'!M144</f>
        <v>330000</v>
      </c>
      <c r="N144" s="5">
        <f t="shared" si="10"/>
        <v>330000</v>
      </c>
      <c r="O144" s="5">
        <f>'Raw Data'!N144</f>
        <v>112000</v>
      </c>
      <c r="P144" s="5">
        <f>IF(ISBLANK('Raw Data'!N144),AVERAGEIFS('Raw Data'!$N$2:$N$433,'Raw Data'!$G$2:$G$433,G144),'Raw Data'!N144)</f>
        <v>112000</v>
      </c>
      <c r="Q144" s="5">
        <f t="shared" si="11"/>
        <v>224000</v>
      </c>
      <c r="R144" s="5">
        <f t="shared" si="12"/>
        <v>106000</v>
      </c>
      <c r="S144" s="3" t="str">
        <f>'Raw Data'!O144</f>
        <v>No</v>
      </c>
      <c r="T144" s="3" t="str">
        <f>'Raw Data'!P144</f>
        <v>Ibrahim</v>
      </c>
      <c r="U144" s="3" t="str">
        <f t="shared" si="13"/>
        <v>June</v>
      </c>
      <c r="V144" s="11">
        <f t="shared" si="14"/>
        <v>0</v>
      </c>
    </row>
    <row r="145" spans="1:22" x14ac:dyDescent="0.25">
      <c r="A145" s="3">
        <f>'Raw Data'!A145</f>
        <v>100144</v>
      </c>
      <c r="B145" s="4">
        <f>'Raw Data'!B145</f>
        <v>46132</v>
      </c>
      <c r="C145" s="3" t="str">
        <f>'Raw Data'!C145</f>
        <v>IB-01</v>
      </c>
      <c r="D145" s="3" t="str">
        <f>PROPER(TRIM('Raw Data'!D145))</f>
        <v>Ibadan</v>
      </c>
      <c r="E145" s="3" t="str">
        <f>'Raw Data'!E145</f>
        <v>WhatsApp</v>
      </c>
      <c r="F145" s="3" t="str">
        <f>IF(PROPER(TRIM('Raw Data'!F145))="Accessory","Accessories",PROPER(TRIM('Raw Data'!F145)))</f>
        <v>Electronics</v>
      </c>
      <c r="G145" s="3" t="str">
        <f>'Raw Data'!G145</f>
        <v>Earbuds</v>
      </c>
      <c r="H145" s="3" t="str">
        <f>'Raw Data'!H145</f>
        <v>C1139</v>
      </c>
      <c r="I145" s="3" t="str">
        <f>'Raw Data'!I145</f>
        <v>New</v>
      </c>
      <c r="J145" s="3">
        <f>'Raw Data'!J145</f>
        <v>2</v>
      </c>
      <c r="K145" s="5">
        <f>'Raw Data'!K145</f>
        <v>32000</v>
      </c>
      <c r="L145" s="6">
        <f>'Raw Data'!L145</f>
        <v>0.15</v>
      </c>
      <c r="M145" s="5">
        <f>'Raw Data'!M145</f>
        <v>54400</v>
      </c>
      <c r="N145" s="5">
        <f t="shared" si="10"/>
        <v>54400</v>
      </c>
      <c r="O145" s="5">
        <f>'Raw Data'!N145</f>
        <v>19000</v>
      </c>
      <c r="P145" s="5">
        <f>IF(ISBLANK('Raw Data'!N145),AVERAGEIFS('Raw Data'!$N$2:$N$433,'Raw Data'!$G$2:$G$433,G145),'Raw Data'!N145)</f>
        <v>19000</v>
      </c>
      <c r="Q145" s="5">
        <f t="shared" si="11"/>
        <v>38000</v>
      </c>
      <c r="R145" s="5">
        <f t="shared" si="12"/>
        <v>16400</v>
      </c>
      <c r="S145" s="3" t="str">
        <f>'Raw Data'!O145</f>
        <v>Yes</v>
      </c>
      <c r="T145" s="3" t="str">
        <f>'Raw Data'!P145</f>
        <v>Grace</v>
      </c>
      <c r="U145" s="3" t="str">
        <f t="shared" si="13"/>
        <v>April</v>
      </c>
      <c r="V145" s="11">
        <f t="shared" si="14"/>
        <v>1</v>
      </c>
    </row>
    <row r="146" spans="1:22" x14ac:dyDescent="0.25">
      <c r="A146" s="3">
        <f>'Raw Data'!A146</f>
        <v>100145</v>
      </c>
      <c r="B146" s="4">
        <f>'Raw Data'!B146</f>
        <v>46141</v>
      </c>
      <c r="C146" s="3" t="str">
        <f>'Raw Data'!C146</f>
        <v>IB-01</v>
      </c>
      <c r="D146" s="3" t="str">
        <f>PROPER(TRIM('Raw Data'!D146))</f>
        <v>Ibadan</v>
      </c>
      <c r="E146" s="3" t="str">
        <f>'Raw Data'!E146</f>
        <v>In-store</v>
      </c>
      <c r="F146" s="3" t="str">
        <f>IF(PROPER(TRIM('Raw Data'!F146))="Accessory","Accessories",PROPER(TRIM('Raw Data'!F146)))</f>
        <v>Accessories</v>
      </c>
      <c r="G146" s="3" t="str">
        <f>'Raw Data'!G146</f>
        <v>Backpack</v>
      </c>
      <c r="H146" s="3" t="str">
        <f>'Raw Data'!H146</f>
        <v>C1018</v>
      </c>
      <c r="I146" s="3" t="str">
        <f>'Raw Data'!I146</f>
        <v>New</v>
      </c>
      <c r="J146" s="3">
        <f>'Raw Data'!J146</f>
        <v>1</v>
      </c>
      <c r="K146" s="5">
        <f>'Raw Data'!K146</f>
        <v>28000</v>
      </c>
      <c r="L146" s="6">
        <f>'Raw Data'!L146</f>
        <v>0</v>
      </c>
      <c r="M146" s="5">
        <f>'Raw Data'!M146</f>
        <v>28000</v>
      </c>
      <c r="N146" s="5">
        <f t="shared" si="10"/>
        <v>28000</v>
      </c>
      <c r="O146" s="5">
        <f>'Raw Data'!N146</f>
        <v>16000</v>
      </c>
      <c r="P146" s="5">
        <f>IF(ISBLANK('Raw Data'!N146),AVERAGEIFS('Raw Data'!$N$2:$N$433,'Raw Data'!$G$2:$G$433,G146),'Raw Data'!N146)</f>
        <v>16000</v>
      </c>
      <c r="Q146" s="5">
        <f t="shared" si="11"/>
        <v>16000</v>
      </c>
      <c r="R146" s="5">
        <f t="shared" si="12"/>
        <v>12000</v>
      </c>
      <c r="S146" s="3" t="str">
        <f>'Raw Data'!O146</f>
        <v>No</v>
      </c>
      <c r="T146" s="3" t="str">
        <f>'Raw Data'!P146</f>
        <v>Chinedu</v>
      </c>
      <c r="U146" s="3" t="str">
        <f t="shared" si="13"/>
        <v>April</v>
      </c>
      <c r="V146" s="11">
        <f t="shared" si="14"/>
        <v>0</v>
      </c>
    </row>
    <row r="147" spans="1:22" x14ac:dyDescent="0.25">
      <c r="A147" s="3">
        <f>'Raw Data'!A147</f>
        <v>100146</v>
      </c>
      <c r="B147" s="4">
        <f>'Raw Data'!B147</f>
        <v>46108</v>
      </c>
      <c r="C147" s="3" t="str">
        <f>'Raw Data'!C147</f>
        <v>KN-01</v>
      </c>
      <c r="D147" s="3" t="str">
        <f>PROPER(TRIM('Raw Data'!D147))</f>
        <v>Kano</v>
      </c>
      <c r="E147" s="3" t="str">
        <f>'Raw Data'!E147</f>
        <v>Online</v>
      </c>
      <c r="F147" s="3" t="str">
        <f>IF(PROPER(TRIM('Raw Data'!F147))="Accessory","Accessories",PROPER(TRIM('Raw Data'!F147)))</f>
        <v>Electronics</v>
      </c>
      <c r="G147" s="3" t="str">
        <f>'Raw Data'!G147</f>
        <v>Earbuds</v>
      </c>
      <c r="H147" s="3" t="str">
        <f>'Raw Data'!H147</f>
        <v>C1128</v>
      </c>
      <c r="I147" s="3" t="str">
        <f>'Raw Data'!I147</f>
        <v>Returning</v>
      </c>
      <c r="J147" s="3">
        <f>'Raw Data'!J147</f>
        <v>1</v>
      </c>
      <c r="K147" s="5">
        <f>'Raw Data'!K147</f>
        <v>32000</v>
      </c>
      <c r="L147" s="6">
        <f>'Raw Data'!L147</f>
        <v>0.1</v>
      </c>
      <c r="M147" s="5">
        <f>'Raw Data'!M147</f>
        <v>28800</v>
      </c>
      <c r="N147" s="5">
        <f t="shared" si="10"/>
        <v>28800</v>
      </c>
      <c r="O147" s="5">
        <f>'Raw Data'!N147</f>
        <v>19000</v>
      </c>
      <c r="P147" s="5">
        <f>IF(ISBLANK('Raw Data'!N147),AVERAGEIFS('Raw Data'!$N$2:$N$433,'Raw Data'!$G$2:$G$433,G147),'Raw Data'!N147)</f>
        <v>19000</v>
      </c>
      <c r="Q147" s="5">
        <f t="shared" si="11"/>
        <v>19000</v>
      </c>
      <c r="R147" s="5">
        <f t="shared" si="12"/>
        <v>9800</v>
      </c>
      <c r="S147" s="3" t="str">
        <f>'Raw Data'!O147</f>
        <v>No</v>
      </c>
      <c r="T147" s="3" t="str">
        <f>'Raw Data'!P147</f>
        <v>Ibrahim</v>
      </c>
      <c r="U147" s="3" t="str">
        <f t="shared" si="13"/>
        <v>March</v>
      </c>
      <c r="V147" s="11">
        <f t="shared" si="14"/>
        <v>0</v>
      </c>
    </row>
    <row r="148" spans="1:22" x14ac:dyDescent="0.25">
      <c r="A148" s="3">
        <f>'Raw Data'!A148</f>
        <v>100147</v>
      </c>
      <c r="B148" s="4">
        <f>'Raw Data'!B148</f>
        <v>46127</v>
      </c>
      <c r="C148" s="3" t="str">
        <f>'Raw Data'!C148</f>
        <v>PH-01</v>
      </c>
      <c r="D148" s="3" t="str">
        <f>PROPER(TRIM('Raw Data'!D148))</f>
        <v>Port Harcourt</v>
      </c>
      <c r="E148" s="3" t="str">
        <f>'Raw Data'!E148</f>
        <v>In-store</v>
      </c>
      <c r="F148" s="3" t="str">
        <f>IF(PROPER(TRIM('Raw Data'!F148))="Accessory","Accessories",PROPER(TRIM('Raw Data'!F148)))</f>
        <v>Home</v>
      </c>
      <c r="G148" s="3" t="str">
        <f>'Raw Data'!G148</f>
        <v>Blender</v>
      </c>
      <c r="H148" s="3" t="str">
        <f>'Raw Data'!H148</f>
        <v>C1172</v>
      </c>
      <c r="I148" s="3" t="str">
        <f>'Raw Data'!I148</f>
        <v>New</v>
      </c>
      <c r="J148" s="3">
        <f>'Raw Data'!J148</f>
        <v>2</v>
      </c>
      <c r="K148" s="5">
        <f>'Raw Data'!K148</f>
        <v>42000</v>
      </c>
      <c r="L148" s="6">
        <f>'Raw Data'!L148</f>
        <v>0.05</v>
      </c>
      <c r="M148" s="5">
        <f>'Raw Data'!M148</f>
        <v>79800</v>
      </c>
      <c r="N148" s="5">
        <f t="shared" si="10"/>
        <v>79800</v>
      </c>
      <c r="O148" s="5">
        <f>'Raw Data'!N148</f>
        <v>28000</v>
      </c>
      <c r="P148" s="5">
        <f>IF(ISBLANK('Raw Data'!N148),AVERAGEIFS('Raw Data'!$N$2:$N$433,'Raw Data'!$G$2:$G$433,G148),'Raw Data'!N148)</f>
        <v>28000</v>
      </c>
      <c r="Q148" s="5">
        <f t="shared" si="11"/>
        <v>56000</v>
      </c>
      <c r="R148" s="5">
        <f t="shared" si="12"/>
        <v>23800</v>
      </c>
      <c r="S148" s="3" t="str">
        <f>'Raw Data'!O148</f>
        <v>No</v>
      </c>
      <c r="T148" s="3" t="str">
        <f>'Raw Data'!P148</f>
        <v>Chinedu</v>
      </c>
      <c r="U148" s="3" t="str">
        <f t="shared" si="13"/>
        <v>April</v>
      </c>
      <c r="V148" s="11">
        <f t="shared" si="14"/>
        <v>0</v>
      </c>
    </row>
    <row r="149" spans="1:22" x14ac:dyDescent="0.25">
      <c r="A149" s="3">
        <f>'Raw Data'!A149</f>
        <v>100148</v>
      </c>
      <c r="B149" s="4">
        <f>'Raw Data'!B149</f>
        <v>46227</v>
      </c>
      <c r="C149" s="3" t="str">
        <f>'Raw Data'!C149</f>
        <v>PH-01</v>
      </c>
      <c r="D149" s="3" t="str">
        <f>PROPER(TRIM('Raw Data'!D149))</f>
        <v>Port Harcourt</v>
      </c>
      <c r="E149" s="3" t="str">
        <f>'Raw Data'!E149</f>
        <v>Online</v>
      </c>
      <c r="F149" s="3" t="str">
        <f>IF(PROPER(TRIM('Raw Data'!F149))="Accessory","Accessories",PROPER(TRIM('Raw Data'!F149)))</f>
        <v>Home</v>
      </c>
      <c r="G149" s="3" t="str">
        <f>'Raw Data'!G149</f>
        <v>Electric Kettle</v>
      </c>
      <c r="H149" s="3" t="str">
        <f>'Raw Data'!H149</f>
        <v>C1069</v>
      </c>
      <c r="I149" s="3" t="str">
        <f>'Raw Data'!I149</f>
        <v>Returning</v>
      </c>
      <c r="J149" s="3">
        <f>'Raw Data'!J149</f>
        <v>1</v>
      </c>
      <c r="K149" s="5">
        <f>'Raw Data'!K149</f>
        <v>24000</v>
      </c>
      <c r="L149" s="6">
        <f>'Raw Data'!L149</f>
        <v>0.05</v>
      </c>
      <c r="M149" s="5">
        <f>'Raw Data'!M149</f>
        <v>22800</v>
      </c>
      <c r="N149" s="5">
        <f t="shared" si="10"/>
        <v>22800</v>
      </c>
      <c r="O149" s="5">
        <f>'Raw Data'!N149</f>
        <v>15000</v>
      </c>
      <c r="P149" s="5">
        <f>IF(ISBLANK('Raw Data'!N149),AVERAGEIFS('Raw Data'!$N$2:$N$433,'Raw Data'!$G$2:$G$433,G149),'Raw Data'!N149)</f>
        <v>15000</v>
      </c>
      <c r="Q149" s="5">
        <f t="shared" si="11"/>
        <v>15000</v>
      </c>
      <c r="R149" s="5">
        <f t="shared" si="12"/>
        <v>7800</v>
      </c>
      <c r="S149" s="3" t="str">
        <f>'Raw Data'!O149</f>
        <v>No</v>
      </c>
      <c r="T149" s="3" t="str">
        <f>'Raw Data'!P149</f>
        <v>Chinedu</v>
      </c>
      <c r="U149" s="3" t="str">
        <f t="shared" si="13"/>
        <v>July</v>
      </c>
      <c r="V149" s="11">
        <f t="shared" si="14"/>
        <v>0</v>
      </c>
    </row>
    <row r="150" spans="1:22" x14ac:dyDescent="0.25">
      <c r="A150" s="3">
        <f>'Raw Data'!A150</f>
        <v>100149</v>
      </c>
      <c r="B150" s="4">
        <f>'Raw Data'!B150</f>
        <v>46038</v>
      </c>
      <c r="C150" s="3" t="str">
        <f>'Raw Data'!C150</f>
        <v>LG-02</v>
      </c>
      <c r="D150" s="3" t="str">
        <f>PROPER(TRIM('Raw Data'!D150))</f>
        <v>Lagos</v>
      </c>
      <c r="E150" s="3" t="str">
        <f>'Raw Data'!E150</f>
        <v>In-store</v>
      </c>
      <c r="F150" s="3" t="str">
        <f>IF(PROPER(TRIM('Raw Data'!F150))="Accessory","Accessories",PROPER(TRIM('Raw Data'!F150)))</f>
        <v>Accessories</v>
      </c>
      <c r="G150" s="3" t="str">
        <f>'Raw Data'!G150</f>
        <v>Phone Case</v>
      </c>
      <c r="H150" s="3" t="str">
        <f>'Raw Data'!H150</f>
        <v>C1150</v>
      </c>
      <c r="I150" s="3" t="str">
        <f>'Raw Data'!I150</f>
        <v>Returning</v>
      </c>
      <c r="J150" s="3">
        <f>'Raw Data'!J150</f>
        <v>4</v>
      </c>
      <c r="K150" s="5">
        <f>'Raw Data'!K150</f>
        <v>9000</v>
      </c>
      <c r="L150" s="6">
        <f>'Raw Data'!L150</f>
        <v>0.05</v>
      </c>
      <c r="M150" s="5">
        <f>'Raw Data'!M150</f>
        <v>34200</v>
      </c>
      <c r="N150" s="5">
        <f t="shared" si="10"/>
        <v>34200</v>
      </c>
      <c r="O150" s="5">
        <f>'Raw Data'!N150</f>
        <v>3500</v>
      </c>
      <c r="P150" s="5">
        <f>IF(ISBLANK('Raw Data'!N150),AVERAGEIFS('Raw Data'!$N$2:$N$433,'Raw Data'!$G$2:$G$433,G150),'Raw Data'!N150)</f>
        <v>3500</v>
      </c>
      <c r="Q150" s="5">
        <f t="shared" si="11"/>
        <v>14000</v>
      </c>
      <c r="R150" s="5">
        <f t="shared" si="12"/>
        <v>20200</v>
      </c>
      <c r="S150" s="3" t="str">
        <f>'Raw Data'!O150</f>
        <v>No</v>
      </c>
      <c r="T150" s="3" t="str">
        <f>'Raw Data'!P150</f>
        <v>Grace</v>
      </c>
      <c r="U150" s="3" t="str">
        <f t="shared" si="13"/>
        <v>January</v>
      </c>
      <c r="V150" s="11">
        <f t="shared" si="14"/>
        <v>0</v>
      </c>
    </row>
    <row r="151" spans="1:22" x14ac:dyDescent="0.25">
      <c r="A151" s="3">
        <f>'Raw Data'!A151</f>
        <v>100150</v>
      </c>
      <c r="B151" s="4">
        <f>'Raw Data'!B151</f>
        <v>46032</v>
      </c>
      <c r="C151" s="3" t="str">
        <f>'Raw Data'!C151</f>
        <v>IB-01</v>
      </c>
      <c r="D151" s="3" t="str">
        <f>PROPER(TRIM('Raw Data'!D151))</f>
        <v>Ibadan</v>
      </c>
      <c r="E151" s="3" t="str">
        <f>'Raw Data'!E151</f>
        <v>Online</v>
      </c>
      <c r="F151" s="3" t="str">
        <f>IF(PROPER(TRIM('Raw Data'!F151))="Accessory","Accessories",PROPER(TRIM('Raw Data'!F151)))</f>
        <v>Electronics</v>
      </c>
      <c r="G151" s="3" t="str">
        <f>'Raw Data'!G151</f>
        <v>Power Bank</v>
      </c>
      <c r="H151" s="3" t="str">
        <f>'Raw Data'!H151</f>
        <v>C1044</v>
      </c>
      <c r="I151" s="3" t="str">
        <f>'Raw Data'!I151</f>
        <v>Returning</v>
      </c>
      <c r="J151" s="3">
        <f>'Raw Data'!J151</f>
        <v>1</v>
      </c>
      <c r="K151" s="5">
        <f>'Raw Data'!K151</f>
        <v>26000</v>
      </c>
      <c r="L151" s="6">
        <f>'Raw Data'!L151</f>
        <v>0.1</v>
      </c>
      <c r="M151" s="5">
        <f>'Raw Data'!M151</f>
        <v>23400</v>
      </c>
      <c r="N151" s="5">
        <f t="shared" si="10"/>
        <v>23400</v>
      </c>
      <c r="O151" s="5">
        <f>'Raw Data'!N151</f>
        <v>15000</v>
      </c>
      <c r="P151" s="5">
        <f>IF(ISBLANK('Raw Data'!N151),AVERAGEIFS('Raw Data'!$N$2:$N$433,'Raw Data'!$G$2:$G$433,G151),'Raw Data'!N151)</f>
        <v>15000</v>
      </c>
      <c r="Q151" s="5">
        <f t="shared" si="11"/>
        <v>15000</v>
      </c>
      <c r="R151" s="5">
        <f t="shared" si="12"/>
        <v>8400</v>
      </c>
      <c r="S151" s="3" t="str">
        <f>'Raw Data'!O151</f>
        <v>No</v>
      </c>
      <c r="T151" s="3" t="str">
        <f>'Raw Data'!P151</f>
        <v>Grace</v>
      </c>
      <c r="U151" s="3" t="str">
        <f t="shared" si="13"/>
        <v>January</v>
      </c>
      <c r="V151" s="11">
        <f t="shared" si="14"/>
        <v>0</v>
      </c>
    </row>
    <row r="152" spans="1:22" x14ac:dyDescent="0.25">
      <c r="A152" s="3">
        <f>'Raw Data'!A152</f>
        <v>100151</v>
      </c>
      <c r="B152" s="4">
        <f>'Raw Data'!B152</f>
        <v>46059</v>
      </c>
      <c r="C152" s="3" t="str">
        <f>'Raw Data'!C152</f>
        <v>KN-01</v>
      </c>
      <c r="D152" s="3" t="str">
        <f>PROPER(TRIM('Raw Data'!D152))</f>
        <v>Kano</v>
      </c>
      <c r="E152" s="3" t="str">
        <f>'Raw Data'!E152</f>
        <v>Online</v>
      </c>
      <c r="F152" s="3" t="str">
        <f>IF(PROPER(TRIM('Raw Data'!F152))="Accessory","Accessories",PROPER(TRIM('Raw Data'!F152)))</f>
        <v>Electronics</v>
      </c>
      <c r="G152" s="3" t="str">
        <f>'Raw Data'!G152</f>
        <v>Smartphone</v>
      </c>
      <c r="H152" s="3" t="str">
        <f>'Raw Data'!H152</f>
        <v>C1186</v>
      </c>
      <c r="I152" s="3" t="str">
        <f>'Raw Data'!I152</f>
        <v>New</v>
      </c>
      <c r="J152" s="3">
        <f>'Raw Data'!J152</f>
        <v>1</v>
      </c>
      <c r="K152" s="5">
        <f>'Raw Data'!K152</f>
        <v>165000</v>
      </c>
      <c r="L152" s="6">
        <f>'Raw Data'!L152</f>
        <v>0.15</v>
      </c>
      <c r="M152" s="5">
        <f>'Raw Data'!M152</f>
        <v>140250</v>
      </c>
      <c r="N152" s="5">
        <f t="shared" si="10"/>
        <v>140250</v>
      </c>
      <c r="O152" s="5">
        <f>'Raw Data'!N152</f>
        <v>112000</v>
      </c>
      <c r="P152" s="5">
        <f>IF(ISBLANK('Raw Data'!N152),AVERAGEIFS('Raw Data'!$N$2:$N$433,'Raw Data'!$G$2:$G$433,G152),'Raw Data'!N152)</f>
        <v>112000</v>
      </c>
      <c r="Q152" s="5">
        <f t="shared" si="11"/>
        <v>112000</v>
      </c>
      <c r="R152" s="5">
        <f t="shared" si="12"/>
        <v>28250</v>
      </c>
      <c r="S152" s="3" t="str">
        <f>'Raw Data'!O152</f>
        <v>No</v>
      </c>
      <c r="T152" s="3" t="str">
        <f>'Raw Data'!P152</f>
        <v>Chinedu</v>
      </c>
      <c r="U152" s="3" t="str">
        <f t="shared" si="13"/>
        <v>February</v>
      </c>
      <c r="V152" s="11">
        <f t="shared" si="14"/>
        <v>0</v>
      </c>
    </row>
    <row r="153" spans="1:22" x14ac:dyDescent="0.25">
      <c r="A153" s="3">
        <f>'Raw Data'!A153</f>
        <v>100152</v>
      </c>
      <c r="B153" s="4">
        <f>'Raw Data'!B153</f>
        <v>46052</v>
      </c>
      <c r="C153" s="3" t="str">
        <f>'Raw Data'!C153</f>
        <v>LG-02</v>
      </c>
      <c r="D153" s="3" t="str">
        <f>PROPER(TRIM('Raw Data'!D153))</f>
        <v>Lagos</v>
      </c>
      <c r="E153" s="3" t="str">
        <f>'Raw Data'!E153</f>
        <v>WhatsApp</v>
      </c>
      <c r="F153" s="3" t="str">
        <f>IF(PROPER(TRIM('Raw Data'!F153))="Accessory","Accessories",PROPER(TRIM('Raw Data'!F153)))</f>
        <v>Accessories</v>
      </c>
      <c r="G153" s="3" t="str">
        <f>'Raw Data'!G153</f>
        <v>USB Cable</v>
      </c>
      <c r="H153" s="3" t="str">
        <f>'Raw Data'!H153</f>
        <v>C1076</v>
      </c>
      <c r="I153" s="3" t="str">
        <f>'Raw Data'!I153</f>
        <v>Returning</v>
      </c>
      <c r="J153" s="3">
        <f>'Raw Data'!J153</f>
        <v>1</v>
      </c>
      <c r="K153" s="5">
        <f>'Raw Data'!K153</f>
        <v>6500</v>
      </c>
      <c r="L153" s="6">
        <f>'Raw Data'!L153</f>
        <v>0</v>
      </c>
      <c r="M153" s="5">
        <f>'Raw Data'!M153</f>
        <v>6500</v>
      </c>
      <c r="N153" s="5">
        <f t="shared" si="10"/>
        <v>6500</v>
      </c>
      <c r="O153" s="5">
        <f>'Raw Data'!N153</f>
        <v>2200</v>
      </c>
      <c r="P153" s="5">
        <f>IF(ISBLANK('Raw Data'!N153),AVERAGEIFS('Raw Data'!$N$2:$N$433,'Raw Data'!$G$2:$G$433,G153),'Raw Data'!N153)</f>
        <v>2200</v>
      </c>
      <c r="Q153" s="5">
        <f t="shared" si="11"/>
        <v>2200</v>
      </c>
      <c r="R153" s="5">
        <f t="shared" si="12"/>
        <v>4300</v>
      </c>
      <c r="S153" s="3" t="str">
        <f>'Raw Data'!O153</f>
        <v>No</v>
      </c>
      <c r="T153" s="3" t="str">
        <f>'Raw Data'!P153</f>
        <v>Ibrahim</v>
      </c>
      <c r="U153" s="3" t="str">
        <f t="shared" si="13"/>
        <v>January</v>
      </c>
      <c r="V153" s="11">
        <f t="shared" si="14"/>
        <v>0</v>
      </c>
    </row>
    <row r="154" spans="1:22" x14ac:dyDescent="0.25">
      <c r="A154" s="3">
        <f>'Raw Data'!A154</f>
        <v>100153</v>
      </c>
      <c r="B154" s="4">
        <f>'Raw Data'!B154</f>
        <v>46205</v>
      </c>
      <c r="C154" s="3" t="str">
        <f>'Raw Data'!C154</f>
        <v>AB-02</v>
      </c>
      <c r="D154" s="3" t="str">
        <f>PROPER(TRIM('Raw Data'!D154))</f>
        <v>Abuja</v>
      </c>
      <c r="E154" s="3" t="str">
        <f>'Raw Data'!E154</f>
        <v>WhatsApp</v>
      </c>
      <c r="F154" s="3" t="str">
        <f>IF(PROPER(TRIM('Raw Data'!F154))="Accessory","Accessories",PROPER(TRIM('Raw Data'!F154)))</f>
        <v>Electronics</v>
      </c>
      <c r="G154" s="3" t="str">
        <f>'Raw Data'!G154</f>
        <v>Earbuds</v>
      </c>
      <c r="H154" s="3" t="str">
        <f>'Raw Data'!H154</f>
        <v>C1117</v>
      </c>
      <c r="I154" s="3" t="str">
        <f>'Raw Data'!I154</f>
        <v>Returning</v>
      </c>
      <c r="J154" s="3">
        <f>'Raw Data'!J154</f>
        <v>1</v>
      </c>
      <c r="K154" s="5">
        <f>'Raw Data'!K154</f>
        <v>32000</v>
      </c>
      <c r="L154" s="6">
        <f>'Raw Data'!L154</f>
        <v>0.25</v>
      </c>
      <c r="M154" s="5">
        <f>'Raw Data'!M154</f>
        <v>24000</v>
      </c>
      <c r="N154" s="5">
        <f t="shared" si="10"/>
        <v>24000</v>
      </c>
      <c r="O154" s="5">
        <f>'Raw Data'!N154</f>
        <v>19000</v>
      </c>
      <c r="P154" s="5">
        <f>IF(ISBLANK('Raw Data'!N154),AVERAGEIFS('Raw Data'!$N$2:$N$433,'Raw Data'!$G$2:$G$433,G154),'Raw Data'!N154)</f>
        <v>19000</v>
      </c>
      <c r="Q154" s="5">
        <f t="shared" si="11"/>
        <v>19000</v>
      </c>
      <c r="R154" s="5">
        <f t="shared" si="12"/>
        <v>5000</v>
      </c>
      <c r="S154" s="3" t="str">
        <f>'Raw Data'!O154</f>
        <v>No</v>
      </c>
      <c r="T154" s="3" t="str">
        <f>'Raw Data'!P154</f>
        <v>Fatima</v>
      </c>
      <c r="U154" s="3" t="str">
        <f t="shared" si="13"/>
        <v>July</v>
      </c>
      <c r="V154" s="11">
        <f t="shared" si="14"/>
        <v>0</v>
      </c>
    </row>
    <row r="155" spans="1:22" x14ac:dyDescent="0.25">
      <c r="A155" s="3">
        <f>'Raw Data'!A155</f>
        <v>100154</v>
      </c>
      <c r="B155" s="4">
        <f>'Raw Data'!B155</f>
        <v>46068</v>
      </c>
      <c r="C155" s="3" t="str">
        <f>'Raw Data'!C155</f>
        <v>IB-01</v>
      </c>
      <c r="D155" s="3" t="str">
        <f>PROPER(TRIM('Raw Data'!D155))</f>
        <v>Ibadan</v>
      </c>
      <c r="E155" s="3" t="str">
        <f>'Raw Data'!E155</f>
        <v>In-store</v>
      </c>
      <c r="F155" s="3" t="str">
        <f>IF(PROPER(TRIM('Raw Data'!F155))="Accessory","Accessories",PROPER(TRIM('Raw Data'!F155)))</f>
        <v>Electronics</v>
      </c>
      <c r="G155" s="3" t="str">
        <f>'Raw Data'!G155</f>
        <v>Earbuds</v>
      </c>
      <c r="H155" s="3" t="str">
        <f>'Raw Data'!H155</f>
        <v>C1024</v>
      </c>
      <c r="I155" s="3" t="str">
        <f>'Raw Data'!I155</f>
        <v>New</v>
      </c>
      <c r="J155" s="3">
        <f>'Raw Data'!J155</f>
        <v>1</v>
      </c>
      <c r="K155" s="5">
        <f>'Raw Data'!K155</f>
        <v>32000</v>
      </c>
      <c r="L155" s="6">
        <f>'Raw Data'!L155</f>
        <v>0</v>
      </c>
      <c r="M155" s="5">
        <f>'Raw Data'!M155</f>
        <v>32000</v>
      </c>
      <c r="N155" s="5">
        <f t="shared" si="10"/>
        <v>32000</v>
      </c>
      <c r="O155" s="3">
        <f>'Raw Data'!N155</f>
        <v>0</v>
      </c>
      <c r="P155" s="5">
        <f>IF(ISBLANK('Raw Data'!N155),AVERAGEIFS('Raw Data'!$N$2:$N$433,'Raw Data'!$G$2:$G$433,G155),'Raw Data'!N155)</f>
        <v>19000</v>
      </c>
      <c r="Q155" s="5">
        <f t="shared" si="11"/>
        <v>19000</v>
      </c>
      <c r="R155" s="5">
        <f t="shared" si="12"/>
        <v>13000</v>
      </c>
      <c r="S155" s="3" t="str">
        <f>'Raw Data'!O155</f>
        <v>No</v>
      </c>
      <c r="T155" s="3" t="str">
        <f>'Raw Data'!P155</f>
        <v>Fatima</v>
      </c>
      <c r="U155" s="3" t="str">
        <f t="shared" si="13"/>
        <v>February</v>
      </c>
      <c r="V155" s="11">
        <f t="shared" si="14"/>
        <v>0</v>
      </c>
    </row>
    <row r="156" spans="1:22" x14ac:dyDescent="0.25">
      <c r="A156" s="3">
        <f>'Raw Data'!A156</f>
        <v>100155</v>
      </c>
      <c r="B156" s="4">
        <f>'Raw Data'!B156</f>
        <v>46198</v>
      </c>
      <c r="C156" s="3" t="str">
        <f>'Raw Data'!C156</f>
        <v>LG-02</v>
      </c>
      <c r="D156" s="3" t="str">
        <f>PROPER(TRIM('Raw Data'!D156))</f>
        <v>Lagos</v>
      </c>
      <c r="E156" s="3" t="str">
        <f>'Raw Data'!E156</f>
        <v>In-store</v>
      </c>
      <c r="F156" s="3" t="str">
        <f>IF(PROPER(TRIM('Raw Data'!F156))="Accessory","Accessories",PROPER(TRIM('Raw Data'!F156)))</f>
        <v>Accessories</v>
      </c>
      <c r="G156" s="3" t="str">
        <f>'Raw Data'!G156</f>
        <v>Backpack</v>
      </c>
      <c r="H156" s="3" t="str">
        <f>'Raw Data'!H156</f>
        <v>C1005</v>
      </c>
      <c r="I156" s="3" t="str">
        <f>'Raw Data'!I156</f>
        <v>New</v>
      </c>
      <c r="J156" s="3">
        <f>'Raw Data'!J156</f>
        <v>5</v>
      </c>
      <c r="K156" s="5">
        <f>'Raw Data'!K156</f>
        <v>28000</v>
      </c>
      <c r="L156" s="6">
        <f>'Raw Data'!L156</f>
        <v>0.15</v>
      </c>
      <c r="M156" s="5">
        <f>'Raw Data'!M156</f>
        <v>119000</v>
      </c>
      <c r="N156" s="5">
        <f t="shared" si="10"/>
        <v>119000</v>
      </c>
      <c r="O156" s="5">
        <f>'Raw Data'!N156</f>
        <v>16000</v>
      </c>
      <c r="P156" s="5">
        <f>IF(ISBLANK('Raw Data'!N156),AVERAGEIFS('Raw Data'!$N$2:$N$433,'Raw Data'!$G$2:$G$433,G156),'Raw Data'!N156)</f>
        <v>16000</v>
      </c>
      <c r="Q156" s="5">
        <f t="shared" si="11"/>
        <v>80000</v>
      </c>
      <c r="R156" s="5">
        <f t="shared" si="12"/>
        <v>39000</v>
      </c>
      <c r="S156" s="3" t="str">
        <f>'Raw Data'!O156</f>
        <v>No</v>
      </c>
      <c r="T156" s="3" t="str">
        <f>'Raw Data'!P156</f>
        <v>Chinedu</v>
      </c>
      <c r="U156" s="3" t="str">
        <f t="shared" si="13"/>
        <v>June</v>
      </c>
      <c r="V156" s="11">
        <f t="shared" si="14"/>
        <v>0</v>
      </c>
    </row>
    <row r="157" spans="1:22" x14ac:dyDescent="0.25">
      <c r="A157" s="3">
        <f>'Raw Data'!A157</f>
        <v>100156</v>
      </c>
      <c r="B157" s="4">
        <f>'Raw Data'!B157</f>
        <v>46215</v>
      </c>
      <c r="C157" s="3" t="str">
        <f>'Raw Data'!C157</f>
        <v>LG-01</v>
      </c>
      <c r="D157" s="3" t="str">
        <f>PROPER(TRIM('Raw Data'!D157))</f>
        <v>Lagos</v>
      </c>
      <c r="E157" s="3" t="str">
        <f>'Raw Data'!E157</f>
        <v>In-store</v>
      </c>
      <c r="F157" s="3" t="str">
        <f>IF(PROPER(TRIM('Raw Data'!F157))="Accessory","Accessories",PROPER(TRIM('Raw Data'!F157)))</f>
        <v>Electronics</v>
      </c>
      <c r="G157" s="3" t="str">
        <f>'Raw Data'!G157</f>
        <v>Earbuds</v>
      </c>
      <c r="H157" s="3" t="str">
        <f>'Raw Data'!H157</f>
        <v>C1004</v>
      </c>
      <c r="I157" s="3" t="str">
        <f>'Raw Data'!I157</f>
        <v>New</v>
      </c>
      <c r="J157" s="3">
        <f>'Raw Data'!J157</f>
        <v>1</v>
      </c>
      <c r="K157" s="5">
        <f>'Raw Data'!K157</f>
        <v>32000</v>
      </c>
      <c r="L157" s="6">
        <f>'Raw Data'!L157</f>
        <v>0</v>
      </c>
      <c r="M157" s="5">
        <f>'Raw Data'!M157</f>
        <v>32000</v>
      </c>
      <c r="N157" s="5">
        <f t="shared" si="10"/>
        <v>32000</v>
      </c>
      <c r="O157" s="5">
        <f>'Raw Data'!N157</f>
        <v>19000</v>
      </c>
      <c r="P157" s="5">
        <f>IF(ISBLANK('Raw Data'!N157),AVERAGEIFS('Raw Data'!$N$2:$N$433,'Raw Data'!$G$2:$G$433,G157),'Raw Data'!N157)</f>
        <v>19000</v>
      </c>
      <c r="Q157" s="5">
        <f t="shared" si="11"/>
        <v>19000</v>
      </c>
      <c r="R157" s="5">
        <f t="shared" si="12"/>
        <v>13000</v>
      </c>
      <c r="S157" s="3" t="str">
        <f>'Raw Data'!O157</f>
        <v>No</v>
      </c>
      <c r="T157" s="3" t="str">
        <f>'Raw Data'!P157</f>
        <v>Kemi</v>
      </c>
      <c r="U157" s="3" t="str">
        <f t="shared" si="13"/>
        <v>July</v>
      </c>
      <c r="V157" s="11">
        <f t="shared" si="14"/>
        <v>0</v>
      </c>
    </row>
    <row r="158" spans="1:22" x14ac:dyDescent="0.25">
      <c r="A158" s="3">
        <f>'Raw Data'!A158</f>
        <v>100157</v>
      </c>
      <c r="B158" s="4">
        <f>'Raw Data'!B158</f>
        <v>46108</v>
      </c>
      <c r="C158" s="3" t="str">
        <f>'Raw Data'!C158</f>
        <v>IB-01</v>
      </c>
      <c r="D158" s="3" t="str">
        <f>PROPER(TRIM('Raw Data'!D158))</f>
        <v>Ibadan</v>
      </c>
      <c r="E158" s="3" t="str">
        <f>'Raw Data'!E158</f>
        <v>Online</v>
      </c>
      <c r="F158" s="3" t="str">
        <f>IF(PROPER(TRIM('Raw Data'!F158))="Accessory","Accessories",PROPER(TRIM('Raw Data'!F158)))</f>
        <v>Electronics</v>
      </c>
      <c r="G158" s="3" t="str">
        <f>'Raw Data'!G158</f>
        <v>Earbuds</v>
      </c>
      <c r="H158" s="3" t="str">
        <f>'Raw Data'!H158</f>
        <v>C1105</v>
      </c>
      <c r="I158" s="3" t="str">
        <f>'Raw Data'!I158</f>
        <v>New</v>
      </c>
      <c r="J158" s="3">
        <f>'Raw Data'!J158</f>
        <v>1</v>
      </c>
      <c r="K158" s="5">
        <f>'Raw Data'!K158</f>
        <v>32000</v>
      </c>
      <c r="L158" s="6">
        <f>'Raw Data'!L158</f>
        <v>0.1</v>
      </c>
      <c r="M158" s="5">
        <f>'Raw Data'!M158</f>
        <v>28800</v>
      </c>
      <c r="N158" s="5">
        <f t="shared" si="10"/>
        <v>28800</v>
      </c>
      <c r="O158" s="5">
        <f>'Raw Data'!N158</f>
        <v>19000</v>
      </c>
      <c r="P158" s="5">
        <f>IF(ISBLANK('Raw Data'!N158),AVERAGEIFS('Raw Data'!$N$2:$N$433,'Raw Data'!$G$2:$G$433,G158),'Raw Data'!N158)</f>
        <v>19000</v>
      </c>
      <c r="Q158" s="5">
        <f t="shared" si="11"/>
        <v>19000</v>
      </c>
      <c r="R158" s="5">
        <f t="shared" si="12"/>
        <v>9800</v>
      </c>
      <c r="S158" s="3" t="str">
        <f>'Raw Data'!O158</f>
        <v>No</v>
      </c>
      <c r="T158" s="3" t="str">
        <f>'Raw Data'!P158</f>
        <v>Grace</v>
      </c>
      <c r="U158" s="3" t="str">
        <f t="shared" si="13"/>
        <v>March</v>
      </c>
      <c r="V158" s="11">
        <f t="shared" si="14"/>
        <v>0</v>
      </c>
    </row>
    <row r="159" spans="1:22" x14ac:dyDescent="0.25">
      <c r="A159" s="3">
        <f>'Raw Data'!A159</f>
        <v>100158</v>
      </c>
      <c r="B159" s="4">
        <f>'Raw Data'!B159</f>
        <v>46179</v>
      </c>
      <c r="C159" s="3" t="str">
        <f>'Raw Data'!C159</f>
        <v>PH-01</v>
      </c>
      <c r="D159" s="3" t="str">
        <f>PROPER(TRIM('Raw Data'!D159))</f>
        <v>Port Harcourt</v>
      </c>
      <c r="E159" s="3" t="str">
        <f>'Raw Data'!E159</f>
        <v>Online</v>
      </c>
      <c r="F159" s="3" t="str">
        <f>IF(PROPER(TRIM('Raw Data'!F159))="Accessory","Accessories",PROPER(TRIM('Raw Data'!F159)))</f>
        <v>Accessories</v>
      </c>
      <c r="G159" s="3" t="str">
        <f>'Raw Data'!G159</f>
        <v>Phone Case</v>
      </c>
      <c r="H159" s="3" t="str">
        <f>'Raw Data'!H159</f>
        <v>C1067</v>
      </c>
      <c r="I159" s="3" t="str">
        <f>'Raw Data'!I159</f>
        <v>New</v>
      </c>
      <c r="J159" s="3">
        <f>'Raw Data'!J159</f>
        <v>2</v>
      </c>
      <c r="K159" s="5">
        <f>'Raw Data'!K159</f>
        <v>9000</v>
      </c>
      <c r="L159" s="6">
        <f>'Raw Data'!L159</f>
        <v>0.05</v>
      </c>
      <c r="M159" s="5">
        <f>'Raw Data'!M159</f>
        <v>17100</v>
      </c>
      <c r="N159" s="5">
        <f t="shared" si="10"/>
        <v>17100</v>
      </c>
      <c r="O159" s="3">
        <f>'Raw Data'!N159</f>
        <v>0</v>
      </c>
      <c r="P159" s="5">
        <f>IF(ISBLANK('Raw Data'!N159),AVERAGEIFS('Raw Data'!$N$2:$N$433,'Raw Data'!$G$2:$G$433,G159),'Raw Data'!N159)</f>
        <v>3500</v>
      </c>
      <c r="Q159" s="5">
        <f t="shared" si="11"/>
        <v>7000</v>
      </c>
      <c r="R159" s="5">
        <f t="shared" si="12"/>
        <v>10100</v>
      </c>
      <c r="S159" s="3" t="str">
        <f>'Raw Data'!O159</f>
        <v>No</v>
      </c>
      <c r="T159" s="3" t="str">
        <f>'Raw Data'!P159</f>
        <v>Kemi</v>
      </c>
      <c r="U159" s="3" t="str">
        <f t="shared" si="13"/>
        <v>June</v>
      </c>
      <c r="V159" s="11">
        <f t="shared" si="14"/>
        <v>0</v>
      </c>
    </row>
    <row r="160" spans="1:22" x14ac:dyDescent="0.25">
      <c r="A160" s="3">
        <f>'Raw Data'!A160</f>
        <v>100159</v>
      </c>
      <c r="B160" s="4">
        <f>'Raw Data'!B160</f>
        <v>46204</v>
      </c>
      <c r="C160" s="3" t="str">
        <f>'Raw Data'!C160</f>
        <v>LG-01</v>
      </c>
      <c r="D160" s="3" t="str">
        <f>PROPER(TRIM('Raw Data'!D160))</f>
        <v>Lagos</v>
      </c>
      <c r="E160" s="3" t="str">
        <f>'Raw Data'!E160</f>
        <v>In-store</v>
      </c>
      <c r="F160" s="3" t="str">
        <f>IF(PROPER(TRIM('Raw Data'!F160))="Accessory","Accessories",PROPER(TRIM('Raw Data'!F160)))</f>
        <v>Home</v>
      </c>
      <c r="G160" s="3" t="str">
        <f>'Raw Data'!G160</f>
        <v>Electric Kettle</v>
      </c>
      <c r="H160" s="3" t="str">
        <f>'Raw Data'!H160</f>
        <v>C1184</v>
      </c>
      <c r="I160" s="3" t="str">
        <f>'Raw Data'!I160</f>
        <v>New</v>
      </c>
      <c r="J160" s="3">
        <f>'Raw Data'!J160</f>
        <v>1</v>
      </c>
      <c r="K160" s="5">
        <f>'Raw Data'!K160</f>
        <v>24000</v>
      </c>
      <c r="L160" s="6">
        <f>'Raw Data'!L160</f>
        <v>0</v>
      </c>
      <c r="M160" s="5">
        <f>'Raw Data'!M160</f>
        <v>24000</v>
      </c>
      <c r="N160" s="5">
        <f t="shared" si="10"/>
        <v>24000</v>
      </c>
      <c r="O160" s="5">
        <f>'Raw Data'!N160</f>
        <v>15000</v>
      </c>
      <c r="P160" s="5">
        <f>IF(ISBLANK('Raw Data'!N160),AVERAGEIFS('Raw Data'!$N$2:$N$433,'Raw Data'!$G$2:$G$433,G160),'Raw Data'!N160)</f>
        <v>15000</v>
      </c>
      <c r="Q160" s="5">
        <f t="shared" si="11"/>
        <v>15000</v>
      </c>
      <c r="R160" s="5">
        <f t="shared" si="12"/>
        <v>9000</v>
      </c>
      <c r="S160" s="3" t="str">
        <f>'Raw Data'!O160</f>
        <v>No</v>
      </c>
      <c r="T160" s="3" t="str">
        <f>'Raw Data'!P160</f>
        <v>David</v>
      </c>
      <c r="U160" s="3" t="str">
        <f t="shared" si="13"/>
        <v>July</v>
      </c>
      <c r="V160" s="11">
        <f t="shared" si="14"/>
        <v>0</v>
      </c>
    </row>
    <row r="161" spans="1:22" x14ac:dyDescent="0.25">
      <c r="A161" s="3">
        <f>'Raw Data'!A161</f>
        <v>100160</v>
      </c>
      <c r="B161" s="4">
        <f>'Raw Data'!B161</f>
        <v>46076</v>
      </c>
      <c r="C161" s="3" t="str">
        <f>'Raw Data'!C161</f>
        <v>LG-02</v>
      </c>
      <c r="D161" s="3" t="str">
        <f>PROPER(TRIM('Raw Data'!D161))</f>
        <v>Lagos</v>
      </c>
      <c r="E161" s="3" t="str">
        <f>'Raw Data'!E161</f>
        <v>Online</v>
      </c>
      <c r="F161" s="3" t="str">
        <f>IF(PROPER(TRIM('Raw Data'!F161))="Accessory","Accessories",PROPER(TRIM('Raw Data'!F161)))</f>
        <v>Home</v>
      </c>
      <c r="G161" s="3" t="str">
        <f>'Raw Data'!G161</f>
        <v>Electric Kettle</v>
      </c>
      <c r="H161" s="3" t="str">
        <f>'Raw Data'!H161</f>
        <v>C1008</v>
      </c>
      <c r="I161" s="3" t="str">
        <f>'Raw Data'!I161</f>
        <v>Returning</v>
      </c>
      <c r="J161" s="3">
        <f>'Raw Data'!J161</f>
        <v>1</v>
      </c>
      <c r="K161" s="5">
        <f>'Raw Data'!K161</f>
        <v>24000</v>
      </c>
      <c r="L161" s="6">
        <f>'Raw Data'!L161</f>
        <v>0</v>
      </c>
      <c r="M161" s="5">
        <f>'Raw Data'!M161</f>
        <v>24000</v>
      </c>
      <c r="N161" s="5">
        <f t="shared" si="10"/>
        <v>24000</v>
      </c>
      <c r="O161" s="5">
        <f>'Raw Data'!N161</f>
        <v>15000</v>
      </c>
      <c r="P161" s="5">
        <f>IF(ISBLANK('Raw Data'!N161),AVERAGEIFS('Raw Data'!$N$2:$N$433,'Raw Data'!$G$2:$G$433,G161),'Raw Data'!N161)</f>
        <v>15000</v>
      </c>
      <c r="Q161" s="5">
        <f t="shared" si="11"/>
        <v>15000</v>
      </c>
      <c r="R161" s="5">
        <f t="shared" si="12"/>
        <v>9000</v>
      </c>
      <c r="S161" s="3" t="str">
        <f>'Raw Data'!O161</f>
        <v>No</v>
      </c>
      <c r="T161" s="3" t="str">
        <f>'Raw Data'!P161</f>
        <v>Grace</v>
      </c>
      <c r="U161" s="3" t="str">
        <f t="shared" si="13"/>
        <v>February</v>
      </c>
      <c r="V161" s="11">
        <f t="shared" si="14"/>
        <v>0</v>
      </c>
    </row>
    <row r="162" spans="1:22" x14ac:dyDescent="0.25">
      <c r="A162" s="3">
        <f>'Raw Data'!A162</f>
        <v>100161</v>
      </c>
      <c r="B162" s="4">
        <f>'Raw Data'!B162</f>
        <v>46230</v>
      </c>
      <c r="C162" s="3" t="str">
        <f>'Raw Data'!C162</f>
        <v>IB-01</v>
      </c>
      <c r="D162" s="3" t="str">
        <f>PROPER(TRIM('Raw Data'!D162))</f>
        <v>Ibadan</v>
      </c>
      <c r="E162" s="3" t="str">
        <f>'Raw Data'!E162</f>
        <v>WhatsApp</v>
      </c>
      <c r="F162" s="3" t="str">
        <f>IF(PROPER(TRIM('Raw Data'!F162))="Accessory","Accessories",PROPER(TRIM('Raw Data'!F162)))</f>
        <v>Home</v>
      </c>
      <c r="G162" s="3" t="str">
        <f>'Raw Data'!G162</f>
        <v>Standing Fan</v>
      </c>
      <c r="H162" s="3" t="str">
        <f>'Raw Data'!H162</f>
        <v>C1096</v>
      </c>
      <c r="I162" s="3" t="str">
        <f>'Raw Data'!I162</f>
        <v>Returning</v>
      </c>
      <c r="J162" s="3">
        <f>'Raw Data'!J162</f>
        <v>3</v>
      </c>
      <c r="K162" s="5">
        <f>'Raw Data'!K162</f>
        <v>58000</v>
      </c>
      <c r="L162" s="6">
        <f>'Raw Data'!L162</f>
        <v>0</v>
      </c>
      <c r="M162" s="5">
        <f>'Raw Data'!M162</f>
        <v>174000</v>
      </c>
      <c r="N162" s="5">
        <f t="shared" si="10"/>
        <v>174000</v>
      </c>
      <c r="O162" s="5">
        <f>'Raw Data'!N162</f>
        <v>39000</v>
      </c>
      <c r="P162" s="5">
        <f>IF(ISBLANK('Raw Data'!N162),AVERAGEIFS('Raw Data'!$N$2:$N$433,'Raw Data'!$G$2:$G$433,G162),'Raw Data'!N162)</f>
        <v>39000</v>
      </c>
      <c r="Q162" s="5">
        <f t="shared" si="11"/>
        <v>117000</v>
      </c>
      <c r="R162" s="5">
        <f t="shared" si="12"/>
        <v>57000</v>
      </c>
      <c r="S162" s="3" t="str">
        <f>'Raw Data'!O162</f>
        <v>No</v>
      </c>
      <c r="T162" s="3" t="str">
        <f>'Raw Data'!P162</f>
        <v>David</v>
      </c>
      <c r="U162" s="3" t="str">
        <f t="shared" si="13"/>
        <v>July</v>
      </c>
      <c r="V162" s="11">
        <f t="shared" si="14"/>
        <v>0</v>
      </c>
    </row>
    <row r="163" spans="1:22" x14ac:dyDescent="0.25">
      <c r="A163" s="3">
        <f>'Raw Data'!A163</f>
        <v>100162</v>
      </c>
      <c r="B163" s="4">
        <f>'Raw Data'!B163</f>
        <v>46129</v>
      </c>
      <c r="C163" s="3" t="str">
        <f>'Raw Data'!C163</f>
        <v>IB-01</v>
      </c>
      <c r="D163" s="3" t="str">
        <f>PROPER(TRIM('Raw Data'!D163))</f>
        <v>Ibadan</v>
      </c>
      <c r="E163" s="3" t="str">
        <f>'Raw Data'!E163</f>
        <v>WhatsApp</v>
      </c>
      <c r="F163" s="3" t="str">
        <f>IF(PROPER(TRIM('Raw Data'!F163))="Accessory","Accessories",PROPER(TRIM('Raw Data'!F163)))</f>
        <v>Accessories</v>
      </c>
      <c r="G163" s="3" t="str">
        <f>'Raw Data'!G163</f>
        <v>Phone Case</v>
      </c>
      <c r="H163" s="3" t="str">
        <f>'Raw Data'!H163</f>
        <v>C1119</v>
      </c>
      <c r="I163" s="3" t="str">
        <f>'Raw Data'!I163</f>
        <v>New</v>
      </c>
      <c r="J163" s="3">
        <f>'Raw Data'!J163</f>
        <v>1</v>
      </c>
      <c r="K163" s="5">
        <f>'Raw Data'!K163</f>
        <v>9000</v>
      </c>
      <c r="L163" s="6">
        <f>'Raw Data'!L163</f>
        <v>0</v>
      </c>
      <c r="M163" s="5">
        <f>'Raw Data'!M163</f>
        <v>9000</v>
      </c>
      <c r="N163" s="5">
        <f t="shared" si="10"/>
        <v>9000</v>
      </c>
      <c r="O163" s="3">
        <f>'Raw Data'!N163</f>
        <v>0</v>
      </c>
      <c r="P163" s="5">
        <f>IF(ISBLANK('Raw Data'!N163),AVERAGEIFS('Raw Data'!$N$2:$N$433,'Raw Data'!$G$2:$G$433,G163),'Raw Data'!N163)</f>
        <v>3500</v>
      </c>
      <c r="Q163" s="5">
        <f t="shared" si="11"/>
        <v>3500</v>
      </c>
      <c r="R163" s="5">
        <f t="shared" si="12"/>
        <v>5500</v>
      </c>
      <c r="S163" s="3" t="str">
        <f>'Raw Data'!O163</f>
        <v>No</v>
      </c>
      <c r="T163" s="3" t="str">
        <f>'Raw Data'!P163</f>
        <v>Fatima</v>
      </c>
      <c r="U163" s="3" t="str">
        <f t="shared" si="13"/>
        <v>April</v>
      </c>
      <c r="V163" s="11">
        <f t="shared" si="14"/>
        <v>0</v>
      </c>
    </row>
    <row r="164" spans="1:22" x14ac:dyDescent="0.25">
      <c r="A164" s="3">
        <f>'Raw Data'!A164</f>
        <v>100163</v>
      </c>
      <c r="B164" s="4">
        <f>'Raw Data'!B164</f>
        <v>46199</v>
      </c>
      <c r="C164" s="3" t="str">
        <f>'Raw Data'!C164</f>
        <v>KN-01</v>
      </c>
      <c r="D164" s="3" t="str">
        <f>PROPER(TRIM('Raw Data'!D164))</f>
        <v>Kano</v>
      </c>
      <c r="E164" s="3" t="str">
        <f>'Raw Data'!E164</f>
        <v>Online</v>
      </c>
      <c r="F164" s="3" t="str">
        <f>IF(PROPER(TRIM('Raw Data'!F164))="Accessory","Accessories",PROPER(TRIM('Raw Data'!F164)))</f>
        <v>Electronics</v>
      </c>
      <c r="G164" s="3" t="str">
        <f>'Raw Data'!G164</f>
        <v>Power Bank</v>
      </c>
      <c r="H164" s="3" t="str">
        <f>'Raw Data'!H164</f>
        <v>C1158</v>
      </c>
      <c r="I164" s="3" t="str">
        <f>'Raw Data'!I164</f>
        <v>New</v>
      </c>
      <c r="J164" s="3">
        <f>'Raw Data'!J164</f>
        <v>5</v>
      </c>
      <c r="K164" s="5">
        <f>'Raw Data'!K164</f>
        <v>26000</v>
      </c>
      <c r="L164" s="6">
        <f>'Raw Data'!L164</f>
        <v>0.15</v>
      </c>
      <c r="M164" s="5">
        <f>'Raw Data'!M164</f>
        <v>88400</v>
      </c>
      <c r="N164" s="5">
        <f t="shared" si="10"/>
        <v>110500</v>
      </c>
      <c r="O164" s="5">
        <f>'Raw Data'!N164</f>
        <v>15000</v>
      </c>
      <c r="P164" s="5">
        <f>IF(ISBLANK('Raw Data'!N164),AVERAGEIFS('Raw Data'!$N$2:$N$433,'Raw Data'!$G$2:$G$433,G164),'Raw Data'!N164)</f>
        <v>15000</v>
      </c>
      <c r="Q164" s="5">
        <f t="shared" si="11"/>
        <v>75000</v>
      </c>
      <c r="R164" s="5">
        <f t="shared" si="12"/>
        <v>35500</v>
      </c>
      <c r="S164" s="3" t="str">
        <f>'Raw Data'!O164</f>
        <v>No</v>
      </c>
      <c r="T164" s="3" t="str">
        <f>'Raw Data'!P164</f>
        <v>Bola</v>
      </c>
      <c r="U164" s="3" t="str">
        <f t="shared" si="13"/>
        <v>June</v>
      </c>
      <c r="V164" s="11">
        <f t="shared" si="14"/>
        <v>0</v>
      </c>
    </row>
    <row r="165" spans="1:22" x14ac:dyDescent="0.25">
      <c r="A165" s="3">
        <f>'Raw Data'!A165</f>
        <v>100164</v>
      </c>
      <c r="B165" s="4">
        <f>'Raw Data'!B165</f>
        <v>46106</v>
      </c>
      <c r="C165" s="3" t="str">
        <f>'Raw Data'!C165</f>
        <v>KN-01</v>
      </c>
      <c r="D165" s="3" t="str">
        <f>PROPER(TRIM('Raw Data'!D165))</f>
        <v>Kano</v>
      </c>
      <c r="E165" s="3" t="str">
        <f>'Raw Data'!E165</f>
        <v>Online</v>
      </c>
      <c r="F165" s="3" t="str">
        <f>IF(PROPER(TRIM('Raw Data'!F165))="Accessory","Accessories",PROPER(TRIM('Raw Data'!F165)))</f>
        <v>Electronics</v>
      </c>
      <c r="G165" s="3" t="str">
        <f>'Raw Data'!G165</f>
        <v>Smartphone</v>
      </c>
      <c r="H165" s="3" t="str">
        <f>'Raw Data'!H165</f>
        <v>C1037</v>
      </c>
      <c r="I165" s="3" t="str">
        <f>'Raw Data'!I165</f>
        <v>Returning</v>
      </c>
      <c r="J165" s="3">
        <f>'Raw Data'!J165</f>
        <v>5</v>
      </c>
      <c r="K165" s="5">
        <f>'Raw Data'!K165</f>
        <v>165000</v>
      </c>
      <c r="L165" s="6">
        <f>'Raw Data'!L165</f>
        <v>0.05</v>
      </c>
      <c r="M165" s="5">
        <f>'Raw Data'!M165</f>
        <v>783750</v>
      </c>
      <c r="N165" s="5">
        <f t="shared" si="10"/>
        <v>783750</v>
      </c>
      <c r="O165" s="5">
        <f>'Raw Data'!N165</f>
        <v>112000</v>
      </c>
      <c r="P165" s="5">
        <f>IF(ISBLANK('Raw Data'!N165),AVERAGEIFS('Raw Data'!$N$2:$N$433,'Raw Data'!$G$2:$G$433,G165),'Raw Data'!N165)</f>
        <v>112000</v>
      </c>
      <c r="Q165" s="5">
        <f t="shared" si="11"/>
        <v>560000</v>
      </c>
      <c r="R165" s="5">
        <f t="shared" si="12"/>
        <v>223750</v>
      </c>
      <c r="S165" s="3" t="str">
        <f>'Raw Data'!O165</f>
        <v>No</v>
      </c>
      <c r="T165" s="3" t="str">
        <f>'Raw Data'!P165</f>
        <v>Chinedu</v>
      </c>
      <c r="U165" s="3" t="str">
        <f t="shared" si="13"/>
        <v>March</v>
      </c>
      <c r="V165" s="11">
        <f t="shared" si="14"/>
        <v>0</v>
      </c>
    </row>
    <row r="166" spans="1:22" x14ac:dyDescent="0.25">
      <c r="A166" s="3">
        <f>'Raw Data'!A166</f>
        <v>100165</v>
      </c>
      <c r="B166" s="4">
        <f>'Raw Data'!B166</f>
        <v>46159</v>
      </c>
      <c r="C166" s="3" t="str">
        <f>'Raw Data'!C166</f>
        <v>LG-01</v>
      </c>
      <c r="D166" s="3" t="str">
        <f>PROPER(TRIM('Raw Data'!D166))</f>
        <v>Lagos</v>
      </c>
      <c r="E166" s="3" t="str">
        <f>'Raw Data'!E166</f>
        <v>Online</v>
      </c>
      <c r="F166" s="3" t="str">
        <f>IF(PROPER(TRIM('Raw Data'!F166))="Accessory","Accessories",PROPER(TRIM('Raw Data'!F166)))</f>
        <v>Electronics</v>
      </c>
      <c r="G166" s="3" t="str">
        <f>'Raw Data'!G166</f>
        <v>Smartphone</v>
      </c>
      <c r="H166" s="3" t="str">
        <f>'Raw Data'!H166</f>
        <v>C1036</v>
      </c>
      <c r="I166" s="3" t="str">
        <f>'Raw Data'!I166</f>
        <v>Returning</v>
      </c>
      <c r="J166" s="3">
        <f>'Raw Data'!J166</f>
        <v>1</v>
      </c>
      <c r="K166" s="5">
        <f>'Raw Data'!K166</f>
        <v>165000</v>
      </c>
      <c r="L166" s="6">
        <f>'Raw Data'!L166</f>
        <v>0</v>
      </c>
      <c r="M166" s="5">
        <f>'Raw Data'!M166</f>
        <v>165000</v>
      </c>
      <c r="N166" s="5">
        <f t="shared" si="10"/>
        <v>165000</v>
      </c>
      <c r="O166" s="5">
        <f>'Raw Data'!N166</f>
        <v>112000</v>
      </c>
      <c r="P166" s="5">
        <f>IF(ISBLANK('Raw Data'!N166),AVERAGEIFS('Raw Data'!$N$2:$N$433,'Raw Data'!$G$2:$G$433,G166),'Raw Data'!N166)</f>
        <v>112000</v>
      </c>
      <c r="Q166" s="5">
        <f t="shared" si="11"/>
        <v>112000</v>
      </c>
      <c r="R166" s="5">
        <f t="shared" si="12"/>
        <v>53000</v>
      </c>
      <c r="S166" s="3" t="str">
        <f>'Raw Data'!O166</f>
        <v>No</v>
      </c>
      <c r="T166" s="3" t="str">
        <f>'Raw Data'!P166</f>
        <v>Fatima</v>
      </c>
      <c r="U166" s="3" t="str">
        <f t="shared" si="13"/>
        <v>May</v>
      </c>
      <c r="V166" s="11">
        <f t="shared" si="14"/>
        <v>0</v>
      </c>
    </row>
    <row r="167" spans="1:22" x14ac:dyDescent="0.25">
      <c r="A167" s="3">
        <f>'Raw Data'!A167</f>
        <v>100166</v>
      </c>
      <c r="B167" s="4">
        <f>'Raw Data'!B167</f>
        <v>46144</v>
      </c>
      <c r="C167" s="3" t="str">
        <f>'Raw Data'!C167</f>
        <v>LG-01</v>
      </c>
      <c r="D167" s="3" t="str">
        <f>PROPER(TRIM('Raw Data'!D167))</f>
        <v>Lagos</v>
      </c>
      <c r="E167" s="3" t="str">
        <f>'Raw Data'!E167</f>
        <v>Online</v>
      </c>
      <c r="F167" s="3" t="str">
        <f>IF(PROPER(TRIM('Raw Data'!F167))="Accessory","Accessories",PROPER(TRIM('Raw Data'!F167)))</f>
        <v>Electronics</v>
      </c>
      <c r="G167" s="3" t="str">
        <f>'Raw Data'!G167</f>
        <v>Earbuds</v>
      </c>
      <c r="H167" s="3" t="str">
        <f>'Raw Data'!H167</f>
        <v>C1013</v>
      </c>
      <c r="I167" s="3" t="str">
        <f>'Raw Data'!I167</f>
        <v>Returning</v>
      </c>
      <c r="J167" s="3">
        <f>'Raw Data'!J167</f>
        <v>3</v>
      </c>
      <c r="K167" s="5">
        <f>'Raw Data'!K167</f>
        <v>32000</v>
      </c>
      <c r="L167" s="6">
        <f>'Raw Data'!L167</f>
        <v>0.05</v>
      </c>
      <c r="M167" s="5">
        <f>'Raw Data'!M167</f>
        <v>91200</v>
      </c>
      <c r="N167" s="5">
        <f t="shared" si="10"/>
        <v>91200</v>
      </c>
      <c r="O167" s="5">
        <f>'Raw Data'!N167</f>
        <v>19000</v>
      </c>
      <c r="P167" s="5">
        <f>IF(ISBLANK('Raw Data'!N167),AVERAGEIFS('Raw Data'!$N$2:$N$433,'Raw Data'!$G$2:$G$433,G167),'Raw Data'!N167)</f>
        <v>19000</v>
      </c>
      <c r="Q167" s="5">
        <f t="shared" si="11"/>
        <v>57000</v>
      </c>
      <c r="R167" s="5">
        <f t="shared" si="12"/>
        <v>34200</v>
      </c>
      <c r="S167" s="3" t="str">
        <f>'Raw Data'!O167</f>
        <v>No</v>
      </c>
      <c r="T167" s="3" t="str">
        <f>'Raw Data'!P167</f>
        <v>Aisha</v>
      </c>
      <c r="U167" s="3" t="str">
        <f t="shared" si="13"/>
        <v>May</v>
      </c>
      <c r="V167" s="11">
        <f t="shared" si="14"/>
        <v>0</v>
      </c>
    </row>
    <row r="168" spans="1:22" x14ac:dyDescent="0.25">
      <c r="A168" s="3">
        <f>'Raw Data'!A168</f>
        <v>100167</v>
      </c>
      <c r="B168" s="4">
        <f>'Raw Data'!B168</f>
        <v>46252</v>
      </c>
      <c r="C168" s="3" t="str">
        <f>'Raw Data'!C168</f>
        <v>LG-02</v>
      </c>
      <c r="D168" s="3" t="str">
        <f>PROPER(TRIM('Raw Data'!D168))</f>
        <v>Lagos</v>
      </c>
      <c r="E168" s="3" t="str">
        <f>'Raw Data'!E168</f>
        <v>WhatsApp</v>
      </c>
      <c r="F168" s="3" t="str">
        <f>IF(PROPER(TRIM('Raw Data'!F168))="Accessory","Accessories",PROPER(TRIM('Raw Data'!F168)))</f>
        <v>Electronics</v>
      </c>
      <c r="G168" s="3" t="str">
        <f>'Raw Data'!G168</f>
        <v>Earbuds</v>
      </c>
      <c r="H168" s="3" t="str">
        <f>'Raw Data'!H168</f>
        <v>C1023</v>
      </c>
      <c r="I168" s="3" t="str">
        <f>'Raw Data'!I168</f>
        <v>New</v>
      </c>
      <c r="J168" s="3">
        <f>'Raw Data'!J168</f>
        <v>1</v>
      </c>
      <c r="K168" s="5">
        <f>'Raw Data'!K168</f>
        <v>32000</v>
      </c>
      <c r="L168" s="6">
        <f>'Raw Data'!L168</f>
        <v>0.1</v>
      </c>
      <c r="M168" s="5">
        <f>'Raw Data'!M168</f>
        <v>28800</v>
      </c>
      <c r="N168" s="5">
        <f t="shared" si="10"/>
        <v>28800</v>
      </c>
      <c r="O168" s="5">
        <f>'Raw Data'!N168</f>
        <v>19000</v>
      </c>
      <c r="P168" s="5">
        <f>IF(ISBLANK('Raw Data'!N168),AVERAGEIFS('Raw Data'!$N$2:$N$433,'Raw Data'!$G$2:$G$433,G168),'Raw Data'!N168)</f>
        <v>19000</v>
      </c>
      <c r="Q168" s="5">
        <f t="shared" si="11"/>
        <v>19000</v>
      </c>
      <c r="R168" s="5">
        <f t="shared" si="12"/>
        <v>9800</v>
      </c>
      <c r="S168" s="3" t="str">
        <f>'Raw Data'!O168</f>
        <v>No</v>
      </c>
      <c r="T168" s="3" t="str">
        <f>'Raw Data'!P168</f>
        <v>Aisha</v>
      </c>
      <c r="U168" s="3" t="str">
        <f t="shared" si="13"/>
        <v>August</v>
      </c>
      <c r="V168" s="11">
        <f t="shared" si="14"/>
        <v>0</v>
      </c>
    </row>
    <row r="169" spans="1:22" x14ac:dyDescent="0.25">
      <c r="A169" s="3">
        <f>'Raw Data'!A169</f>
        <v>100168</v>
      </c>
      <c r="B169" s="4">
        <f>'Raw Data'!B169</f>
        <v>46251</v>
      </c>
      <c r="C169" s="3" t="str">
        <f>'Raw Data'!C169</f>
        <v>KN-01</v>
      </c>
      <c r="D169" s="3" t="str">
        <f>PROPER(TRIM('Raw Data'!D169))</f>
        <v>Kano</v>
      </c>
      <c r="E169" s="3" t="str">
        <f>'Raw Data'!E169</f>
        <v>WhatsApp</v>
      </c>
      <c r="F169" s="3" t="str">
        <f>IF(PROPER(TRIM('Raw Data'!F169))="Accessory","Accessories",PROPER(TRIM('Raw Data'!F169)))</f>
        <v>Electronics</v>
      </c>
      <c r="G169" s="3" t="str">
        <f>'Raw Data'!G169</f>
        <v>Earbuds</v>
      </c>
      <c r="H169" s="3" t="str">
        <f>'Raw Data'!H169</f>
        <v>C1134</v>
      </c>
      <c r="I169" s="3" t="str">
        <f>'Raw Data'!I169</f>
        <v>New</v>
      </c>
      <c r="J169" s="3">
        <f>'Raw Data'!J169</f>
        <v>22</v>
      </c>
      <c r="K169" s="5">
        <f>'Raw Data'!K169</f>
        <v>32000</v>
      </c>
      <c r="L169" s="6">
        <f>'Raw Data'!L169</f>
        <v>0.05</v>
      </c>
      <c r="M169" s="5">
        <f>'Raw Data'!M169</f>
        <v>668800</v>
      </c>
      <c r="N169" s="5">
        <f t="shared" si="10"/>
        <v>668800</v>
      </c>
      <c r="O169" s="5">
        <f>'Raw Data'!N169</f>
        <v>19000</v>
      </c>
      <c r="P169" s="5">
        <f>IF(ISBLANK('Raw Data'!N169),AVERAGEIFS('Raw Data'!$N$2:$N$433,'Raw Data'!$G$2:$G$433,G169),'Raw Data'!N169)</f>
        <v>19000</v>
      </c>
      <c r="Q169" s="5">
        <f t="shared" si="11"/>
        <v>418000</v>
      </c>
      <c r="R169" s="5">
        <f t="shared" si="12"/>
        <v>250800</v>
      </c>
      <c r="S169" s="3" t="str">
        <f>'Raw Data'!O169</f>
        <v>Yes</v>
      </c>
      <c r="T169" s="3" t="str">
        <f>'Raw Data'!P169</f>
        <v>Chinedu</v>
      </c>
      <c r="U169" s="3" t="str">
        <f t="shared" si="13"/>
        <v>August</v>
      </c>
      <c r="V169" s="11">
        <f t="shared" si="14"/>
        <v>1</v>
      </c>
    </row>
    <row r="170" spans="1:22" x14ac:dyDescent="0.25">
      <c r="A170" s="3">
        <f>'Raw Data'!A170</f>
        <v>100169</v>
      </c>
      <c r="B170" s="4">
        <f>'Raw Data'!B170</f>
        <v>46055</v>
      </c>
      <c r="C170" s="3" t="str">
        <f>'Raw Data'!C170</f>
        <v>AB-01</v>
      </c>
      <c r="D170" s="3" t="str">
        <f>PROPER(TRIM('Raw Data'!D170))</f>
        <v>Abuja</v>
      </c>
      <c r="E170" s="3" t="str">
        <f>'Raw Data'!E170</f>
        <v>WhatsApp</v>
      </c>
      <c r="F170" s="3" t="str">
        <f>IF(PROPER(TRIM('Raw Data'!F170))="Accessory","Accessories",PROPER(TRIM('Raw Data'!F170)))</f>
        <v>Electronics</v>
      </c>
      <c r="G170" s="3" t="str">
        <f>'Raw Data'!G170</f>
        <v>Power Bank</v>
      </c>
      <c r="H170" s="3" t="str">
        <f>'Raw Data'!H170</f>
        <v>C1176</v>
      </c>
      <c r="I170" s="3" t="str">
        <f>'Raw Data'!I170</f>
        <v>Returning</v>
      </c>
      <c r="J170" s="3">
        <f>'Raw Data'!J170</f>
        <v>3</v>
      </c>
      <c r="K170" s="5">
        <f>'Raw Data'!K170</f>
        <v>26000</v>
      </c>
      <c r="L170" s="6">
        <f>'Raw Data'!L170</f>
        <v>0.15</v>
      </c>
      <c r="M170" s="5">
        <f>'Raw Data'!M170</f>
        <v>66300</v>
      </c>
      <c r="N170" s="5">
        <f t="shared" si="10"/>
        <v>66300</v>
      </c>
      <c r="O170" s="5">
        <f>'Raw Data'!N170</f>
        <v>15000</v>
      </c>
      <c r="P170" s="5">
        <f>IF(ISBLANK('Raw Data'!N170),AVERAGEIFS('Raw Data'!$N$2:$N$433,'Raw Data'!$G$2:$G$433,G170),'Raw Data'!N170)</f>
        <v>15000</v>
      </c>
      <c r="Q170" s="5">
        <f t="shared" si="11"/>
        <v>45000</v>
      </c>
      <c r="R170" s="5">
        <f t="shared" si="12"/>
        <v>21300</v>
      </c>
      <c r="S170" s="3" t="str">
        <f>'Raw Data'!O170</f>
        <v>Yes</v>
      </c>
      <c r="T170" s="3" t="str">
        <f>'Raw Data'!P170</f>
        <v>David</v>
      </c>
      <c r="U170" s="3" t="str">
        <f t="shared" si="13"/>
        <v>February</v>
      </c>
      <c r="V170" s="11">
        <f t="shared" si="14"/>
        <v>1</v>
      </c>
    </row>
    <row r="171" spans="1:22" x14ac:dyDescent="0.25">
      <c r="A171" s="3">
        <f>'Raw Data'!A171</f>
        <v>100170</v>
      </c>
      <c r="B171" s="4">
        <f>'Raw Data'!B171</f>
        <v>46158</v>
      </c>
      <c r="C171" s="3" t="str">
        <f>'Raw Data'!C171</f>
        <v>LG-02</v>
      </c>
      <c r="D171" s="3" t="str">
        <f>PROPER(TRIM('Raw Data'!D171))</f>
        <v>Lagos</v>
      </c>
      <c r="E171" s="3" t="str">
        <f>'Raw Data'!E171</f>
        <v>In-store</v>
      </c>
      <c r="F171" s="3" t="str">
        <f>IF(PROPER(TRIM('Raw Data'!F171))="Accessory","Accessories",PROPER(TRIM('Raw Data'!F171)))</f>
        <v>Electronics</v>
      </c>
      <c r="G171" s="3" t="str">
        <f>'Raw Data'!G171</f>
        <v>Power Bank</v>
      </c>
      <c r="H171" s="3" t="str">
        <f>'Raw Data'!H171</f>
        <v>C1004</v>
      </c>
      <c r="I171" s="3" t="str">
        <f>'Raw Data'!I171</f>
        <v>New</v>
      </c>
      <c r="J171" s="3">
        <f>'Raw Data'!J171</f>
        <v>1</v>
      </c>
      <c r="K171" s="5">
        <f>'Raw Data'!K171</f>
        <v>26000</v>
      </c>
      <c r="L171" s="6">
        <f>'Raw Data'!L171</f>
        <v>0.05</v>
      </c>
      <c r="M171" s="5">
        <f>'Raw Data'!M171</f>
        <v>24700</v>
      </c>
      <c r="N171" s="5">
        <f t="shared" si="10"/>
        <v>24700</v>
      </c>
      <c r="O171" s="5">
        <f>'Raw Data'!N171</f>
        <v>15000</v>
      </c>
      <c r="P171" s="5">
        <f>IF(ISBLANK('Raw Data'!N171),AVERAGEIFS('Raw Data'!$N$2:$N$433,'Raw Data'!$G$2:$G$433,G171),'Raw Data'!N171)</f>
        <v>15000</v>
      </c>
      <c r="Q171" s="5">
        <f t="shared" si="11"/>
        <v>15000</v>
      </c>
      <c r="R171" s="5">
        <f t="shared" si="12"/>
        <v>9700</v>
      </c>
      <c r="S171" s="3" t="str">
        <f>'Raw Data'!O171</f>
        <v>No</v>
      </c>
      <c r="T171" s="3" t="str">
        <f>'Raw Data'!P171</f>
        <v>Ibrahim</v>
      </c>
      <c r="U171" s="3" t="str">
        <f t="shared" si="13"/>
        <v>May</v>
      </c>
      <c r="V171" s="11">
        <f t="shared" si="14"/>
        <v>0</v>
      </c>
    </row>
    <row r="172" spans="1:22" x14ac:dyDescent="0.25">
      <c r="A172" s="3">
        <f>'Raw Data'!A172</f>
        <v>100171</v>
      </c>
      <c r="B172" s="4">
        <f>'Raw Data'!B172</f>
        <v>46227</v>
      </c>
      <c r="C172" s="3" t="str">
        <f>'Raw Data'!C172</f>
        <v>KN-01</v>
      </c>
      <c r="D172" s="3" t="str">
        <f>PROPER(TRIM('Raw Data'!D172))</f>
        <v>Kano</v>
      </c>
      <c r="E172" s="3" t="str">
        <f>'Raw Data'!E172</f>
        <v>Online</v>
      </c>
      <c r="F172" s="3" t="str">
        <f>IF(PROPER(TRIM('Raw Data'!F172))="Accessory","Accessories",PROPER(TRIM('Raw Data'!F172)))</f>
        <v>Home</v>
      </c>
      <c r="G172" s="3" t="str">
        <f>'Raw Data'!G172</f>
        <v>Electric Kettle</v>
      </c>
      <c r="H172" s="3" t="str">
        <f>'Raw Data'!H172</f>
        <v>C1026</v>
      </c>
      <c r="I172" s="3" t="str">
        <f>'Raw Data'!I172</f>
        <v>Returning</v>
      </c>
      <c r="J172" s="3">
        <f>'Raw Data'!J172</f>
        <v>3</v>
      </c>
      <c r="K172" s="5">
        <f>'Raw Data'!K172</f>
        <v>24000</v>
      </c>
      <c r="L172" s="6">
        <f>'Raw Data'!L172</f>
        <v>0.15</v>
      </c>
      <c r="M172" s="5">
        <f>'Raw Data'!M172</f>
        <v>61200</v>
      </c>
      <c r="N172" s="5">
        <f t="shared" si="10"/>
        <v>61200</v>
      </c>
      <c r="O172" s="5">
        <f>'Raw Data'!N172</f>
        <v>15000</v>
      </c>
      <c r="P172" s="5">
        <f>IF(ISBLANK('Raw Data'!N172),AVERAGEIFS('Raw Data'!$N$2:$N$433,'Raw Data'!$G$2:$G$433,G172),'Raw Data'!N172)</f>
        <v>15000</v>
      </c>
      <c r="Q172" s="5">
        <f t="shared" si="11"/>
        <v>45000</v>
      </c>
      <c r="R172" s="5">
        <f t="shared" si="12"/>
        <v>16200</v>
      </c>
      <c r="S172" s="3" t="str">
        <f>'Raw Data'!O172</f>
        <v>No</v>
      </c>
      <c r="T172" s="3" t="str">
        <f>'Raw Data'!P172</f>
        <v>Grace</v>
      </c>
      <c r="U172" s="3" t="str">
        <f t="shared" si="13"/>
        <v>July</v>
      </c>
      <c r="V172" s="11">
        <f t="shared" si="14"/>
        <v>0</v>
      </c>
    </row>
    <row r="173" spans="1:22" x14ac:dyDescent="0.25">
      <c r="A173" s="3">
        <f>'Raw Data'!A173</f>
        <v>100172</v>
      </c>
      <c r="B173" s="4">
        <f>'Raw Data'!B173</f>
        <v>46110</v>
      </c>
      <c r="C173" s="3" t="str">
        <f>'Raw Data'!C173</f>
        <v>IB-01</v>
      </c>
      <c r="D173" s="3" t="str">
        <f>PROPER(TRIM('Raw Data'!D173))</f>
        <v>Ibadan</v>
      </c>
      <c r="E173" s="3" t="str">
        <f>'Raw Data'!E173</f>
        <v>In-store</v>
      </c>
      <c r="F173" s="3" t="str">
        <f>IF(PROPER(TRIM('Raw Data'!F173))="Accessory","Accessories",PROPER(TRIM('Raw Data'!F173)))</f>
        <v>Accessories</v>
      </c>
      <c r="G173" s="3" t="str">
        <f>'Raw Data'!G173</f>
        <v>Backpack</v>
      </c>
      <c r="H173" s="3" t="str">
        <f>'Raw Data'!H173</f>
        <v>C1172</v>
      </c>
      <c r="I173" s="3" t="str">
        <f>'Raw Data'!I173</f>
        <v>New</v>
      </c>
      <c r="J173" s="3">
        <f>'Raw Data'!J173</f>
        <v>2</v>
      </c>
      <c r="K173" s="5">
        <f>'Raw Data'!K173</f>
        <v>28000</v>
      </c>
      <c r="L173" s="6">
        <f>'Raw Data'!L173</f>
        <v>0.15</v>
      </c>
      <c r="M173" s="5">
        <f>'Raw Data'!M173</f>
        <v>52360</v>
      </c>
      <c r="N173" s="5">
        <f t="shared" si="10"/>
        <v>47600</v>
      </c>
      <c r="O173" s="5">
        <f>'Raw Data'!N173</f>
        <v>16000</v>
      </c>
      <c r="P173" s="5">
        <f>IF(ISBLANK('Raw Data'!N173),AVERAGEIFS('Raw Data'!$N$2:$N$433,'Raw Data'!$G$2:$G$433,G173),'Raw Data'!N173)</f>
        <v>16000</v>
      </c>
      <c r="Q173" s="5">
        <f t="shared" si="11"/>
        <v>32000</v>
      </c>
      <c r="R173" s="5">
        <f t="shared" si="12"/>
        <v>15600</v>
      </c>
      <c r="S173" s="3" t="str">
        <f>'Raw Data'!O173</f>
        <v>No</v>
      </c>
      <c r="T173" s="3" t="str">
        <f>'Raw Data'!P173</f>
        <v>David</v>
      </c>
      <c r="U173" s="3" t="str">
        <f t="shared" si="13"/>
        <v>March</v>
      </c>
      <c r="V173" s="11">
        <f t="shared" si="14"/>
        <v>0</v>
      </c>
    </row>
    <row r="174" spans="1:22" x14ac:dyDescent="0.25">
      <c r="A174" s="3">
        <f>'Raw Data'!A174</f>
        <v>100173</v>
      </c>
      <c r="B174" s="4">
        <f>'Raw Data'!B174</f>
        <v>46052</v>
      </c>
      <c r="C174" s="3" t="str">
        <f>'Raw Data'!C174</f>
        <v>KN-01</v>
      </c>
      <c r="D174" s="3" t="str">
        <f>PROPER(TRIM('Raw Data'!D174))</f>
        <v>Kano</v>
      </c>
      <c r="E174" s="3" t="str">
        <f>'Raw Data'!E174</f>
        <v>Online</v>
      </c>
      <c r="F174" s="3" t="str">
        <f>IF(PROPER(TRIM('Raw Data'!F174))="Accessory","Accessories",PROPER(TRIM('Raw Data'!F174)))</f>
        <v>Accessories</v>
      </c>
      <c r="G174" s="3" t="str">
        <f>'Raw Data'!G174</f>
        <v>USB Cable</v>
      </c>
      <c r="H174" s="3" t="str">
        <f>'Raw Data'!H174</f>
        <v>C1102</v>
      </c>
      <c r="I174" s="3" t="str">
        <f>'Raw Data'!I174</f>
        <v>Returning</v>
      </c>
      <c r="J174" s="3">
        <f>'Raw Data'!J174</f>
        <v>1</v>
      </c>
      <c r="K174" s="5">
        <f>'Raw Data'!K174</f>
        <v>6500</v>
      </c>
      <c r="L174" s="6">
        <f>'Raw Data'!L174</f>
        <v>0.1</v>
      </c>
      <c r="M174" s="5">
        <f>'Raw Data'!M174</f>
        <v>5850</v>
      </c>
      <c r="N174" s="5">
        <f t="shared" si="10"/>
        <v>5850</v>
      </c>
      <c r="O174" s="5">
        <f>'Raw Data'!N174</f>
        <v>2200</v>
      </c>
      <c r="P174" s="5">
        <f>IF(ISBLANK('Raw Data'!N174),AVERAGEIFS('Raw Data'!$N$2:$N$433,'Raw Data'!$G$2:$G$433,G174),'Raw Data'!N174)</f>
        <v>2200</v>
      </c>
      <c r="Q174" s="5">
        <f t="shared" si="11"/>
        <v>2200</v>
      </c>
      <c r="R174" s="5">
        <f t="shared" si="12"/>
        <v>3650</v>
      </c>
      <c r="S174" s="3" t="str">
        <f>'Raw Data'!O174</f>
        <v>Yes</v>
      </c>
      <c r="T174" s="3" t="str">
        <f>'Raw Data'!P174</f>
        <v>Chinedu</v>
      </c>
      <c r="U174" s="3" t="str">
        <f t="shared" si="13"/>
        <v>January</v>
      </c>
      <c r="V174" s="11">
        <f t="shared" si="14"/>
        <v>1</v>
      </c>
    </row>
    <row r="175" spans="1:22" x14ac:dyDescent="0.25">
      <c r="A175" s="3">
        <f>'Raw Data'!A175</f>
        <v>100174</v>
      </c>
      <c r="B175" s="4">
        <f>'Raw Data'!B175</f>
        <v>46237</v>
      </c>
      <c r="C175" s="3" t="str">
        <f>'Raw Data'!C175</f>
        <v>LG-01</v>
      </c>
      <c r="D175" s="3" t="str">
        <f>PROPER(TRIM('Raw Data'!D175))</f>
        <v>Lagos</v>
      </c>
      <c r="E175" s="3" t="str">
        <f>'Raw Data'!E175</f>
        <v>In-store</v>
      </c>
      <c r="F175" s="3" t="str">
        <f>IF(PROPER(TRIM('Raw Data'!F175))="Accessory","Accessories",PROPER(TRIM('Raw Data'!F175)))</f>
        <v>Accessories</v>
      </c>
      <c r="G175" s="3" t="str">
        <f>'Raw Data'!G175</f>
        <v>USB Cable</v>
      </c>
      <c r="H175" s="3" t="str">
        <f>'Raw Data'!H175</f>
        <v>C1096</v>
      </c>
      <c r="I175" s="3" t="str">
        <f>'Raw Data'!I175</f>
        <v>Returning</v>
      </c>
      <c r="J175" s="3">
        <f>'Raw Data'!J175</f>
        <v>2</v>
      </c>
      <c r="K175" s="5">
        <f>'Raw Data'!K175</f>
        <v>6500</v>
      </c>
      <c r="L175" s="6">
        <f>'Raw Data'!L175</f>
        <v>0.15</v>
      </c>
      <c r="M175" s="5">
        <f>'Raw Data'!M175</f>
        <v>11050</v>
      </c>
      <c r="N175" s="5">
        <f t="shared" si="10"/>
        <v>11050</v>
      </c>
      <c r="O175" s="5">
        <f>'Raw Data'!N175</f>
        <v>2200</v>
      </c>
      <c r="P175" s="5">
        <f>IF(ISBLANK('Raw Data'!N175),AVERAGEIFS('Raw Data'!$N$2:$N$433,'Raw Data'!$G$2:$G$433,G175),'Raw Data'!N175)</f>
        <v>2200</v>
      </c>
      <c r="Q175" s="5">
        <f t="shared" si="11"/>
        <v>4400</v>
      </c>
      <c r="R175" s="5">
        <f t="shared" si="12"/>
        <v>6650</v>
      </c>
      <c r="S175" s="3" t="str">
        <f>'Raw Data'!O175</f>
        <v>No</v>
      </c>
      <c r="T175" s="3" t="str">
        <f>'Raw Data'!P175</f>
        <v>Aisha</v>
      </c>
      <c r="U175" s="3" t="str">
        <f t="shared" si="13"/>
        <v>August</v>
      </c>
      <c r="V175" s="11">
        <f t="shared" si="14"/>
        <v>0</v>
      </c>
    </row>
    <row r="176" spans="1:22" x14ac:dyDescent="0.25">
      <c r="A176" s="3">
        <f>'Raw Data'!A176</f>
        <v>100175</v>
      </c>
      <c r="B176" s="4">
        <f>'Raw Data'!B176</f>
        <v>46039</v>
      </c>
      <c r="C176" s="3" t="str">
        <f>'Raw Data'!C176</f>
        <v>AB-02</v>
      </c>
      <c r="D176" s="3" t="str">
        <f>PROPER(TRIM('Raw Data'!D176))</f>
        <v>Abuja</v>
      </c>
      <c r="E176" s="3" t="str">
        <f>'Raw Data'!E176</f>
        <v>In-store</v>
      </c>
      <c r="F176" s="3" t="str">
        <f>IF(PROPER(TRIM('Raw Data'!F176))="Accessory","Accessories",PROPER(TRIM('Raw Data'!F176)))</f>
        <v>Home</v>
      </c>
      <c r="G176" s="3" t="str">
        <f>'Raw Data'!G176</f>
        <v>Electric Kettle</v>
      </c>
      <c r="H176" s="3" t="str">
        <f>'Raw Data'!H176</f>
        <v>C1102</v>
      </c>
      <c r="I176" s="3" t="str">
        <f>'Raw Data'!I176</f>
        <v>Returning</v>
      </c>
      <c r="J176" s="3">
        <f>'Raw Data'!J176</f>
        <v>5</v>
      </c>
      <c r="K176" s="5">
        <f>'Raw Data'!K176</f>
        <v>24000</v>
      </c>
      <c r="L176" s="6">
        <f>'Raw Data'!L176</f>
        <v>0.25</v>
      </c>
      <c r="M176" s="5">
        <f>'Raw Data'!M176</f>
        <v>90000</v>
      </c>
      <c r="N176" s="5">
        <f t="shared" si="10"/>
        <v>90000</v>
      </c>
      <c r="O176" s="5">
        <f>'Raw Data'!N176</f>
        <v>15000</v>
      </c>
      <c r="P176" s="5">
        <f>IF(ISBLANK('Raw Data'!N176),AVERAGEIFS('Raw Data'!$N$2:$N$433,'Raw Data'!$G$2:$G$433,G176),'Raw Data'!N176)</f>
        <v>15000</v>
      </c>
      <c r="Q176" s="5">
        <f t="shared" si="11"/>
        <v>75000</v>
      </c>
      <c r="R176" s="5">
        <f t="shared" si="12"/>
        <v>15000</v>
      </c>
      <c r="S176" s="3" t="str">
        <f>'Raw Data'!O176</f>
        <v>No</v>
      </c>
      <c r="T176" s="3" t="str">
        <f>'Raw Data'!P176</f>
        <v>David</v>
      </c>
      <c r="U176" s="3" t="str">
        <f t="shared" si="13"/>
        <v>January</v>
      </c>
      <c r="V176" s="11">
        <f t="shared" si="14"/>
        <v>0</v>
      </c>
    </row>
    <row r="177" spans="1:22" x14ac:dyDescent="0.25">
      <c r="A177" s="3">
        <f>'Raw Data'!A177</f>
        <v>100176</v>
      </c>
      <c r="B177" s="4">
        <f>'Raw Data'!B177</f>
        <v>46255</v>
      </c>
      <c r="C177" s="3" t="str">
        <f>'Raw Data'!C177</f>
        <v>IB-01</v>
      </c>
      <c r="D177" s="3" t="str">
        <f>PROPER(TRIM('Raw Data'!D177))</f>
        <v>Ibadan</v>
      </c>
      <c r="E177" s="3" t="str">
        <f>'Raw Data'!E177</f>
        <v>Online</v>
      </c>
      <c r="F177" s="3" t="str">
        <f>IF(PROPER(TRIM('Raw Data'!F177))="Accessory","Accessories",PROPER(TRIM('Raw Data'!F177)))</f>
        <v>Accessories</v>
      </c>
      <c r="G177" s="3" t="str">
        <f>'Raw Data'!G177</f>
        <v>Phone Case</v>
      </c>
      <c r="H177" s="3" t="str">
        <f>'Raw Data'!H177</f>
        <v>C1134</v>
      </c>
      <c r="I177" s="3" t="str">
        <f>'Raw Data'!I177</f>
        <v>New</v>
      </c>
      <c r="J177" s="3">
        <f>'Raw Data'!J177</f>
        <v>2</v>
      </c>
      <c r="K177" s="5">
        <f>'Raw Data'!K177</f>
        <v>9000</v>
      </c>
      <c r="L177" s="6">
        <f>'Raw Data'!L177</f>
        <v>0.1</v>
      </c>
      <c r="M177" s="5">
        <f>'Raw Data'!M177</f>
        <v>16200</v>
      </c>
      <c r="N177" s="5">
        <f t="shared" si="10"/>
        <v>16200</v>
      </c>
      <c r="O177" s="5">
        <f>'Raw Data'!N177</f>
        <v>3500</v>
      </c>
      <c r="P177" s="5">
        <f>IF(ISBLANK('Raw Data'!N177),AVERAGEIFS('Raw Data'!$N$2:$N$433,'Raw Data'!$G$2:$G$433,G177),'Raw Data'!N177)</f>
        <v>3500</v>
      </c>
      <c r="Q177" s="5">
        <f t="shared" si="11"/>
        <v>7000</v>
      </c>
      <c r="R177" s="5">
        <f t="shared" si="12"/>
        <v>9200</v>
      </c>
      <c r="S177" s="3" t="str">
        <f>'Raw Data'!O177</f>
        <v>No</v>
      </c>
      <c r="T177" s="3" t="str">
        <f>'Raw Data'!P177</f>
        <v>Ibrahim</v>
      </c>
      <c r="U177" s="3" t="str">
        <f t="shared" si="13"/>
        <v>August</v>
      </c>
      <c r="V177" s="11">
        <f t="shared" si="14"/>
        <v>0</v>
      </c>
    </row>
    <row r="178" spans="1:22" x14ac:dyDescent="0.25">
      <c r="A178" s="3">
        <f>'Raw Data'!A178</f>
        <v>100177</v>
      </c>
      <c r="B178" s="4">
        <f>'Raw Data'!B178</f>
        <v>46180</v>
      </c>
      <c r="C178" s="3" t="str">
        <f>'Raw Data'!C178</f>
        <v>AB-02</v>
      </c>
      <c r="D178" s="3" t="str">
        <f>PROPER(TRIM('Raw Data'!D178))</f>
        <v>Abuja</v>
      </c>
      <c r="E178" s="3" t="str">
        <f>'Raw Data'!E178</f>
        <v>WhatsApp</v>
      </c>
      <c r="F178" s="3" t="str">
        <f>IF(PROPER(TRIM('Raw Data'!F178))="Accessory","Accessories",PROPER(TRIM('Raw Data'!F178)))</f>
        <v>Home</v>
      </c>
      <c r="G178" s="3" t="str">
        <f>'Raw Data'!G178</f>
        <v>Standing Fan</v>
      </c>
      <c r="H178" s="3" t="str">
        <f>'Raw Data'!H178</f>
        <v>C1123</v>
      </c>
      <c r="I178" s="3" t="str">
        <f>'Raw Data'!I178</f>
        <v>New</v>
      </c>
      <c r="J178" s="3">
        <f>'Raw Data'!J178</f>
        <v>1</v>
      </c>
      <c r="K178" s="5">
        <f>'Raw Data'!K178</f>
        <v>58000</v>
      </c>
      <c r="L178" s="6">
        <f>'Raw Data'!L178</f>
        <v>0.2</v>
      </c>
      <c r="M178" s="5">
        <f>'Raw Data'!M178</f>
        <v>46400</v>
      </c>
      <c r="N178" s="5">
        <f t="shared" si="10"/>
        <v>46400</v>
      </c>
      <c r="O178" s="5">
        <f>'Raw Data'!N178</f>
        <v>39000</v>
      </c>
      <c r="P178" s="5">
        <f>IF(ISBLANK('Raw Data'!N178),AVERAGEIFS('Raw Data'!$N$2:$N$433,'Raw Data'!$G$2:$G$433,G178),'Raw Data'!N178)</f>
        <v>39000</v>
      </c>
      <c r="Q178" s="5">
        <f t="shared" si="11"/>
        <v>39000</v>
      </c>
      <c r="R178" s="5">
        <f t="shared" si="12"/>
        <v>7400</v>
      </c>
      <c r="S178" s="3" t="str">
        <f>'Raw Data'!O178</f>
        <v>No</v>
      </c>
      <c r="T178" s="3" t="str">
        <f>'Raw Data'!P178</f>
        <v>Kemi</v>
      </c>
      <c r="U178" s="3" t="str">
        <f t="shared" si="13"/>
        <v>June</v>
      </c>
      <c r="V178" s="11">
        <f t="shared" si="14"/>
        <v>0</v>
      </c>
    </row>
    <row r="179" spans="1:22" x14ac:dyDescent="0.25">
      <c r="A179" s="3">
        <f>'Raw Data'!A179</f>
        <v>100178</v>
      </c>
      <c r="B179" s="4">
        <f>'Raw Data'!B179</f>
        <v>46095</v>
      </c>
      <c r="C179" s="3" t="str">
        <f>'Raw Data'!C179</f>
        <v>KN-01</v>
      </c>
      <c r="D179" s="3" t="str">
        <f>PROPER(TRIM('Raw Data'!D179))</f>
        <v>Kano</v>
      </c>
      <c r="E179" s="3" t="str">
        <f>'Raw Data'!E179</f>
        <v>In-store</v>
      </c>
      <c r="F179" s="3" t="str">
        <f>IF(PROPER(TRIM('Raw Data'!F179))="Accessory","Accessories",PROPER(TRIM('Raw Data'!F179)))</f>
        <v>Accessories</v>
      </c>
      <c r="G179" s="3" t="str">
        <f>'Raw Data'!G179</f>
        <v>USB Cable</v>
      </c>
      <c r="H179" s="3" t="str">
        <f>'Raw Data'!H179</f>
        <v>C1029</v>
      </c>
      <c r="I179" s="3" t="str">
        <f>'Raw Data'!I179</f>
        <v>Returning</v>
      </c>
      <c r="J179" s="3">
        <f>'Raw Data'!J179</f>
        <v>2</v>
      </c>
      <c r="K179" s="5">
        <f>'Raw Data'!K179</f>
        <v>6500</v>
      </c>
      <c r="L179" s="6">
        <f>'Raw Data'!L179</f>
        <v>0.15</v>
      </c>
      <c r="M179" s="5">
        <f>'Raw Data'!M179</f>
        <v>11050</v>
      </c>
      <c r="N179" s="5">
        <f t="shared" si="10"/>
        <v>11050</v>
      </c>
      <c r="O179" s="3">
        <f>'Raw Data'!N179</f>
        <v>0</v>
      </c>
      <c r="P179" s="5">
        <f>IF(ISBLANK('Raw Data'!N179),AVERAGEIFS('Raw Data'!$N$2:$N$433,'Raw Data'!$G$2:$G$433,G179),'Raw Data'!N179)</f>
        <v>2200</v>
      </c>
      <c r="Q179" s="5">
        <f t="shared" si="11"/>
        <v>4400</v>
      </c>
      <c r="R179" s="5">
        <f t="shared" si="12"/>
        <v>6650</v>
      </c>
      <c r="S179" s="3" t="str">
        <f>'Raw Data'!O179</f>
        <v>No</v>
      </c>
      <c r="T179" s="3" t="str">
        <f>'Raw Data'!P179</f>
        <v>Grace</v>
      </c>
      <c r="U179" s="3" t="str">
        <f t="shared" si="13"/>
        <v>March</v>
      </c>
      <c r="V179" s="11">
        <f t="shared" si="14"/>
        <v>0</v>
      </c>
    </row>
    <row r="180" spans="1:22" x14ac:dyDescent="0.25">
      <c r="A180" s="3">
        <f>'Raw Data'!A180</f>
        <v>100179</v>
      </c>
      <c r="B180" s="4">
        <f>'Raw Data'!B180</f>
        <v>46085</v>
      </c>
      <c r="C180" s="3" t="str">
        <f>'Raw Data'!C180</f>
        <v>KN-01</v>
      </c>
      <c r="D180" s="3" t="str">
        <f>PROPER(TRIM('Raw Data'!D180))</f>
        <v>Kano</v>
      </c>
      <c r="E180" s="3" t="str">
        <f>'Raw Data'!E180</f>
        <v>In-store</v>
      </c>
      <c r="F180" s="3" t="str">
        <f>IF(PROPER(TRIM('Raw Data'!F180))="Accessory","Accessories",PROPER(TRIM('Raw Data'!F180)))</f>
        <v>Electronics</v>
      </c>
      <c r="G180" s="3" t="str">
        <f>'Raw Data'!G180</f>
        <v>Earbuds</v>
      </c>
      <c r="H180" s="3" t="str">
        <f>'Raw Data'!H180</f>
        <v>C1120</v>
      </c>
      <c r="I180" s="3" t="str">
        <f>'Raw Data'!I180</f>
        <v>Returning</v>
      </c>
      <c r="J180" s="3">
        <f>'Raw Data'!J180</f>
        <v>5</v>
      </c>
      <c r="K180" s="5">
        <f>'Raw Data'!K180</f>
        <v>32000</v>
      </c>
      <c r="L180" s="6">
        <f>'Raw Data'!L180</f>
        <v>0.15</v>
      </c>
      <c r="M180" s="5">
        <f>'Raw Data'!M180</f>
        <v>136000</v>
      </c>
      <c r="N180" s="5">
        <f t="shared" si="10"/>
        <v>136000</v>
      </c>
      <c r="O180" s="5">
        <f>'Raw Data'!N180</f>
        <v>19000</v>
      </c>
      <c r="P180" s="5">
        <f>IF(ISBLANK('Raw Data'!N180),AVERAGEIFS('Raw Data'!$N$2:$N$433,'Raw Data'!$G$2:$G$433,G180),'Raw Data'!N180)</f>
        <v>19000</v>
      </c>
      <c r="Q180" s="5">
        <f t="shared" si="11"/>
        <v>95000</v>
      </c>
      <c r="R180" s="5">
        <f t="shared" si="12"/>
        <v>41000</v>
      </c>
      <c r="S180" s="3" t="str">
        <f>'Raw Data'!O180</f>
        <v>No</v>
      </c>
      <c r="T180" s="3" t="str">
        <f>'Raw Data'!P180</f>
        <v>Grace</v>
      </c>
      <c r="U180" s="3" t="str">
        <f t="shared" si="13"/>
        <v>March</v>
      </c>
      <c r="V180" s="11">
        <f t="shared" si="14"/>
        <v>0</v>
      </c>
    </row>
    <row r="181" spans="1:22" x14ac:dyDescent="0.25">
      <c r="A181" s="3">
        <f>'Raw Data'!A181</f>
        <v>100180</v>
      </c>
      <c r="B181" s="4">
        <f>'Raw Data'!B181</f>
        <v>46167</v>
      </c>
      <c r="C181" s="3" t="str">
        <f>'Raw Data'!C181</f>
        <v>LG-02</v>
      </c>
      <c r="D181" s="3" t="str">
        <f>PROPER(TRIM('Raw Data'!D181))</f>
        <v>Lagos</v>
      </c>
      <c r="E181" s="3" t="str">
        <f>'Raw Data'!E181</f>
        <v>In-store</v>
      </c>
      <c r="F181" s="3" t="str">
        <f>IF(PROPER(TRIM('Raw Data'!F181))="Accessory","Accessories",PROPER(TRIM('Raw Data'!F181)))</f>
        <v>Accessories</v>
      </c>
      <c r="G181" s="3" t="str">
        <f>'Raw Data'!G181</f>
        <v>Backpack</v>
      </c>
      <c r="H181" s="3" t="str">
        <f>'Raw Data'!H181</f>
        <v>C1161</v>
      </c>
      <c r="I181" s="3" t="str">
        <f>'Raw Data'!I181</f>
        <v>New</v>
      </c>
      <c r="J181" s="3">
        <f>'Raw Data'!J181</f>
        <v>3</v>
      </c>
      <c r="K181" s="5">
        <f>'Raw Data'!K181</f>
        <v>28000</v>
      </c>
      <c r="L181" s="6">
        <f>'Raw Data'!L181</f>
        <v>0.05</v>
      </c>
      <c r="M181" s="5">
        <f>'Raw Data'!M181</f>
        <v>79800</v>
      </c>
      <c r="N181" s="5">
        <f t="shared" si="10"/>
        <v>79800</v>
      </c>
      <c r="O181" s="5">
        <f>'Raw Data'!N181</f>
        <v>16000</v>
      </c>
      <c r="P181" s="5">
        <f>IF(ISBLANK('Raw Data'!N181),AVERAGEIFS('Raw Data'!$N$2:$N$433,'Raw Data'!$G$2:$G$433,G181),'Raw Data'!N181)</f>
        <v>16000</v>
      </c>
      <c r="Q181" s="5">
        <f t="shared" si="11"/>
        <v>48000</v>
      </c>
      <c r="R181" s="5">
        <f t="shared" si="12"/>
        <v>31800</v>
      </c>
      <c r="S181" s="3" t="str">
        <f>'Raw Data'!O181</f>
        <v>No</v>
      </c>
      <c r="T181" s="3" t="str">
        <f>'Raw Data'!P181</f>
        <v>Chinedu</v>
      </c>
      <c r="U181" s="3" t="str">
        <f t="shared" si="13"/>
        <v>May</v>
      </c>
      <c r="V181" s="11">
        <f t="shared" si="14"/>
        <v>0</v>
      </c>
    </row>
    <row r="182" spans="1:22" x14ac:dyDescent="0.25">
      <c r="A182" s="3">
        <f>'Raw Data'!A182</f>
        <v>100181</v>
      </c>
      <c r="B182" s="4">
        <f>'Raw Data'!B182</f>
        <v>46052</v>
      </c>
      <c r="C182" s="3" t="str">
        <f>'Raw Data'!C182</f>
        <v>PH-01</v>
      </c>
      <c r="D182" s="3" t="str">
        <f>PROPER(TRIM('Raw Data'!D182))</f>
        <v>Port Harcourt</v>
      </c>
      <c r="E182" s="3" t="str">
        <f>'Raw Data'!E182</f>
        <v>Online</v>
      </c>
      <c r="F182" s="3" t="str">
        <f>IF(PROPER(TRIM('Raw Data'!F182))="Accessory","Accessories",PROPER(TRIM('Raw Data'!F182)))</f>
        <v>Home</v>
      </c>
      <c r="G182" s="3" t="str">
        <f>'Raw Data'!G182</f>
        <v>Electric Kettle</v>
      </c>
      <c r="H182" s="3" t="str">
        <f>'Raw Data'!H182</f>
        <v>C1112</v>
      </c>
      <c r="I182" s="3" t="str">
        <f>'Raw Data'!I182</f>
        <v>Returning</v>
      </c>
      <c r="J182" s="3">
        <f>'Raw Data'!J182</f>
        <v>1</v>
      </c>
      <c r="K182" s="5">
        <f>'Raw Data'!K182</f>
        <v>24000</v>
      </c>
      <c r="L182" s="6">
        <f>'Raw Data'!L182</f>
        <v>0.1</v>
      </c>
      <c r="M182" s="5">
        <f>'Raw Data'!M182</f>
        <v>21600</v>
      </c>
      <c r="N182" s="5">
        <f t="shared" si="10"/>
        <v>21600</v>
      </c>
      <c r="O182" s="5">
        <f>'Raw Data'!N182</f>
        <v>15000</v>
      </c>
      <c r="P182" s="5">
        <f>IF(ISBLANK('Raw Data'!N182),AVERAGEIFS('Raw Data'!$N$2:$N$433,'Raw Data'!$G$2:$G$433,G182),'Raw Data'!N182)</f>
        <v>15000</v>
      </c>
      <c r="Q182" s="5">
        <f t="shared" si="11"/>
        <v>15000</v>
      </c>
      <c r="R182" s="5">
        <f t="shared" si="12"/>
        <v>6600</v>
      </c>
      <c r="S182" s="3" t="str">
        <f>'Raw Data'!O182</f>
        <v>Yes</v>
      </c>
      <c r="T182" s="3" t="str">
        <f>'Raw Data'!P182</f>
        <v>Chinedu</v>
      </c>
      <c r="U182" s="3" t="str">
        <f t="shared" si="13"/>
        <v>January</v>
      </c>
      <c r="V182" s="11">
        <f t="shared" si="14"/>
        <v>1</v>
      </c>
    </row>
    <row r="183" spans="1:22" x14ac:dyDescent="0.25">
      <c r="A183" s="3">
        <f>'Raw Data'!A183</f>
        <v>100182</v>
      </c>
      <c r="B183" s="4">
        <f>'Raw Data'!B183</f>
        <v>46094</v>
      </c>
      <c r="C183" s="3" t="str">
        <f>'Raw Data'!C183</f>
        <v>AB-01</v>
      </c>
      <c r="D183" s="3" t="str">
        <f>PROPER(TRIM('Raw Data'!D183))</f>
        <v>Abuja</v>
      </c>
      <c r="E183" s="3" t="str">
        <f>'Raw Data'!E183</f>
        <v>Online</v>
      </c>
      <c r="F183" s="3" t="str">
        <f>IF(PROPER(TRIM('Raw Data'!F183))="Accessory","Accessories",PROPER(TRIM('Raw Data'!F183)))</f>
        <v>Accessories</v>
      </c>
      <c r="G183" s="3" t="str">
        <f>'Raw Data'!G183</f>
        <v>Backpack</v>
      </c>
      <c r="H183" s="3" t="str">
        <f>'Raw Data'!H183</f>
        <v>C1097</v>
      </c>
      <c r="I183" s="3" t="str">
        <f>'Raw Data'!I183</f>
        <v>Returning</v>
      </c>
      <c r="J183" s="3">
        <f>'Raw Data'!J183</f>
        <v>2</v>
      </c>
      <c r="K183" s="5">
        <f>'Raw Data'!K183</f>
        <v>28000</v>
      </c>
      <c r="L183" s="6">
        <f>'Raw Data'!L183</f>
        <v>0.2</v>
      </c>
      <c r="M183" s="5">
        <f>'Raw Data'!M183</f>
        <v>44800</v>
      </c>
      <c r="N183" s="5">
        <f t="shared" si="10"/>
        <v>44800</v>
      </c>
      <c r="O183" s="5">
        <f>'Raw Data'!N183</f>
        <v>16000</v>
      </c>
      <c r="P183" s="5">
        <f>IF(ISBLANK('Raw Data'!N183),AVERAGEIFS('Raw Data'!$N$2:$N$433,'Raw Data'!$G$2:$G$433,G183),'Raw Data'!N183)</f>
        <v>16000</v>
      </c>
      <c r="Q183" s="5">
        <f t="shared" si="11"/>
        <v>32000</v>
      </c>
      <c r="R183" s="5">
        <f t="shared" si="12"/>
        <v>12800</v>
      </c>
      <c r="S183" s="3" t="str">
        <f>'Raw Data'!O183</f>
        <v>Yes</v>
      </c>
      <c r="T183" s="3" t="str">
        <f>'Raw Data'!P183</f>
        <v>Kemi</v>
      </c>
      <c r="U183" s="3" t="str">
        <f t="shared" si="13"/>
        <v>March</v>
      </c>
      <c r="V183" s="11">
        <f t="shared" si="14"/>
        <v>1</v>
      </c>
    </row>
    <row r="184" spans="1:22" x14ac:dyDescent="0.25">
      <c r="A184" s="3">
        <f>'Raw Data'!A184</f>
        <v>100183</v>
      </c>
      <c r="B184" s="4">
        <f>'Raw Data'!B184</f>
        <v>46219</v>
      </c>
      <c r="C184" s="3" t="str">
        <f>'Raw Data'!C184</f>
        <v>IB-01</v>
      </c>
      <c r="D184" s="3" t="str">
        <f>PROPER(TRIM('Raw Data'!D184))</f>
        <v>Ibadan</v>
      </c>
      <c r="E184" s="3" t="str">
        <f>'Raw Data'!E184</f>
        <v>In-store</v>
      </c>
      <c r="F184" s="3" t="str">
        <f>IF(PROPER(TRIM('Raw Data'!F184))="Accessory","Accessories",PROPER(TRIM('Raw Data'!F184)))</f>
        <v>Home</v>
      </c>
      <c r="G184" s="3" t="str">
        <f>'Raw Data'!G184</f>
        <v>Standing Fan</v>
      </c>
      <c r="H184" s="3" t="str">
        <f>'Raw Data'!H184</f>
        <v>C1061</v>
      </c>
      <c r="I184" s="3" t="str">
        <f>'Raw Data'!I184</f>
        <v>Returning</v>
      </c>
      <c r="J184" s="3">
        <f>'Raw Data'!J184</f>
        <v>5</v>
      </c>
      <c r="K184" s="5">
        <f>'Raw Data'!K184</f>
        <v>58000</v>
      </c>
      <c r="L184" s="6">
        <f>'Raw Data'!L184</f>
        <v>0.15</v>
      </c>
      <c r="M184" s="5">
        <f>'Raw Data'!M184</f>
        <v>246500</v>
      </c>
      <c r="N184" s="5">
        <f t="shared" si="10"/>
        <v>246500</v>
      </c>
      <c r="O184" s="5">
        <f>'Raw Data'!N184</f>
        <v>39000</v>
      </c>
      <c r="P184" s="5">
        <f>IF(ISBLANK('Raw Data'!N184),AVERAGEIFS('Raw Data'!$N$2:$N$433,'Raw Data'!$G$2:$G$433,G184),'Raw Data'!N184)</f>
        <v>39000</v>
      </c>
      <c r="Q184" s="5">
        <f t="shared" si="11"/>
        <v>195000</v>
      </c>
      <c r="R184" s="5">
        <f t="shared" si="12"/>
        <v>51500</v>
      </c>
      <c r="S184" s="3" t="str">
        <f>'Raw Data'!O184</f>
        <v>No</v>
      </c>
      <c r="T184" s="3" t="str">
        <f>'Raw Data'!P184</f>
        <v>Grace</v>
      </c>
      <c r="U184" s="3" t="str">
        <f t="shared" si="13"/>
        <v>July</v>
      </c>
      <c r="V184" s="11">
        <f t="shared" si="14"/>
        <v>0</v>
      </c>
    </row>
    <row r="185" spans="1:22" x14ac:dyDescent="0.25">
      <c r="A185" s="3">
        <f>'Raw Data'!A185</f>
        <v>100184</v>
      </c>
      <c r="B185" s="4">
        <f>'Raw Data'!B185</f>
        <v>46044</v>
      </c>
      <c r="C185" s="3" t="str">
        <f>'Raw Data'!C185</f>
        <v>LG-02</v>
      </c>
      <c r="D185" s="3" t="str">
        <f>PROPER(TRIM('Raw Data'!D185))</f>
        <v>Lagos</v>
      </c>
      <c r="E185" s="3" t="str">
        <f>'Raw Data'!E185</f>
        <v>In-store</v>
      </c>
      <c r="F185" s="3" t="str">
        <f>IF(PROPER(TRIM('Raw Data'!F185))="Accessory","Accessories",PROPER(TRIM('Raw Data'!F185)))</f>
        <v>Home</v>
      </c>
      <c r="G185" s="3" t="str">
        <f>'Raw Data'!G185</f>
        <v>Blender</v>
      </c>
      <c r="H185" s="3" t="str">
        <f>'Raw Data'!H185</f>
        <v>C1102</v>
      </c>
      <c r="I185" s="3" t="str">
        <f>'Raw Data'!I185</f>
        <v>New</v>
      </c>
      <c r="J185" s="3">
        <f>'Raw Data'!J185</f>
        <v>1</v>
      </c>
      <c r="K185" s="5">
        <f>'Raw Data'!K185</f>
        <v>42000</v>
      </c>
      <c r="L185" s="6">
        <f>'Raw Data'!L185</f>
        <v>0</v>
      </c>
      <c r="M185" s="5">
        <f>'Raw Data'!M185</f>
        <v>42000</v>
      </c>
      <c r="N185" s="5">
        <f t="shared" si="10"/>
        <v>42000</v>
      </c>
      <c r="O185" s="5">
        <f>'Raw Data'!N185</f>
        <v>28000</v>
      </c>
      <c r="P185" s="5">
        <f>IF(ISBLANK('Raw Data'!N185),AVERAGEIFS('Raw Data'!$N$2:$N$433,'Raw Data'!$G$2:$G$433,G185),'Raw Data'!N185)</f>
        <v>28000</v>
      </c>
      <c r="Q185" s="5">
        <f t="shared" si="11"/>
        <v>28000</v>
      </c>
      <c r="R185" s="5">
        <f t="shared" si="12"/>
        <v>14000</v>
      </c>
      <c r="S185" s="3" t="str">
        <f>'Raw Data'!O185</f>
        <v>No</v>
      </c>
      <c r="T185" s="3" t="str">
        <f>'Raw Data'!P185</f>
        <v>David</v>
      </c>
      <c r="U185" s="3" t="str">
        <f t="shared" si="13"/>
        <v>January</v>
      </c>
      <c r="V185" s="11">
        <f t="shared" si="14"/>
        <v>0</v>
      </c>
    </row>
    <row r="186" spans="1:22" x14ac:dyDescent="0.25">
      <c r="A186" s="3">
        <f>'Raw Data'!A186</f>
        <v>100185</v>
      </c>
      <c r="B186" s="4">
        <f>'Raw Data'!B186</f>
        <v>46035</v>
      </c>
      <c r="C186" s="3" t="str">
        <f>'Raw Data'!C186</f>
        <v>AB-01</v>
      </c>
      <c r="D186" s="3" t="str">
        <f>PROPER(TRIM('Raw Data'!D186))</f>
        <v>Abuja</v>
      </c>
      <c r="E186" s="3" t="str">
        <f>'Raw Data'!E186</f>
        <v>WhatsApp</v>
      </c>
      <c r="F186" s="3" t="str">
        <f>IF(PROPER(TRIM('Raw Data'!F186))="Accessory","Accessories",PROPER(TRIM('Raw Data'!F186)))</f>
        <v>Home</v>
      </c>
      <c r="G186" s="3" t="str">
        <f>'Raw Data'!G186</f>
        <v>Blender</v>
      </c>
      <c r="H186" s="3" t="str">
        <f>'Raw Data'!H186</f>
        <v>C1165</v>
      </c>
      <c r="I186" s="3" t="str">
        <f>'Raw Data'!I186</f>
        <v>Returning</v>
      </c>
      <c r="J186" s="3">
        <f>'Raw Data'!J186</f>
        <v>2</v>
      </c>
      <c r="K186" s="5">
        <f>'Raw Data'!K186</f>
        <v>42000</v>
      </c>
      <c r="L186" s="6">
        <f>'Raw Data'!L186</f>
        <v>0.15</v>
      </c>
      <c r="M186" s="5">
        <f>'Raw Data'!M186</f>
        <v>71400</v>
      </c>
      <c r="N186" s="5">
        <f t="shared" si="10"/>
        <v>71400</v>
      </c>
      <c r="O186" s="5">
        <f>'Raw Data'!N186</f>
        <v>28000</v>
      </c>
      <c r="P186" s="5">
        <f>IF(ISBLANK('Raw Data'!N186),AVERAGEIFS('Raw Data'!$N$2:$N$433,'Raw Data'!$G$2:$G$433,G186),'Raw Data'!N186)</f>
        <v>28000</v>
      </c>
      <c r="Q186" s="5">
        <f t="shared" si="11"/>
        <v>56000</v>
      </c>
      <c r="R186" s="5">
        <f t="shared" si="12"/>
        <v>15400</v>
      </c>
      <c r="S186" s="3" t="str">
        <f>'Raw Data'!O186</f>
        <v>No</v>
      </c>
      <c r="T186" s="3" t="str">
        <f>'Raw Data'!P186</f>
        <v>Kemi</v>
      </c>
      <c r="U186" s="3" t="str">
        <f t="shared" si="13"/>
        <v>January</v>
      </c>
      <c r="V186" s="11">
        <f t="shared" si="14"/>
        <v>0</v>
      </c>
    </row>
    <row r="187" spans="1:22" x14ac:dyDescent="0.25">
      <c r="A187" s="3">
        <f>'Raw Data'!A187</f>
        <v>100186</v>
      </c>
      <c r="B187" s="4">
        <f>'Raw Data'!B187</f>
        <v>46041</v>
      </c>
      <c r="C187" s="3" t="str">
        <f>'Raw Data'!C187</f>
        <v>AB-02</v>
      </c>
      <c r="D187" s="3" t="str">
        <f>PROPER(TRIM('Raw Data'!D187))</f>
        <v>Abuja</v>
      </c>
      <c r="E187" s="3" t="str">
        <f>'Raw Data'!E187</f>
        <v>Online</v>
      </c>
      <c r="F187" s="3" t="str">
        <f>IF(PROPER(TRIM('Raw Data'!F187))="Accessory","Accessories",PROPER(TRIM('Raw Data'!F187)))</f>
        <v>Accessories</v>
      </c>
      <c r="G187" s="3" t="str">
        <f>'Raw Data'!G187</f>
        <v>Phone Case</v>
      </c>
      <c r="H187" s="3" t="str">
        <f>'Raw Data'!H187</f>
        <v>C1014</v>
      </c>
      <c r="I187" s="3" t="str">
        <f>'Raw Data'!I187</f>
        <v>New</v>
      </c>
      <c r="J187" s="3">
        <f>'Raw Data'!J187</f>
        <v>2</v>
      </c>
      <c r="K187" s="5">
        <f>'Raw Data'!K187</f>
        <v>9000</v>
      </c>
      <c r="L187" s="6">
        <f>'Raw Data'!L187</f>
        <v>0.05</v>
      </c>
      <c r="M187" s="5">
        <f>'Raw Data'!M187</f>
        <v>17100</v>
      </c>
      <c r="N187" s="5">
        <f t="shared" si="10"/>
        <v>17100</v>
      </c>
      <c r="O187" s="5">
        <f>'Raw Data'!N187</f>
        <v>3500</v>
      </c>
      <c r="P187" s="5">
        <f>IF(ISBLANK('Raw Data'!N187),AVERAGEIFS('Raw Data'!$N$2:$N$433,'Raw Data'!$G$2:$G$433,G187),'Raw Data'!N187)</f>
        <v>3500</v>
      </c>
      <c r="Q187" s="5">
        <f t="shared" si="11"/>
        <v>7000</v>
      </c>
      <c r="R187" s="5">
        <f t="shared" si="12"/>
        <v>10100</v>
      </c>
      <c r="S187" s="3" t="str">
        <f>'Raw Data'!O187</f>
        <v>No</v>
      </c>
      <c r="T187" s="3" t="str">
        <f>'Raw Data'!P187</f>
        <v>Grace</v>
      </c>
      <c r="U187" s="3" t="str">
        <f t="shared" si="13"/>
        <v>January</v>
      </c>
      <c r="V187" s="11">
        <f t="shared" si="14"/>
        <v>0</v>
      </c>
    </row>
    <row r="188" spans="1:22" x14ac:dyDescent="0.25">
      <c r="A188" s="3">
        <f>'Raw Data'!A188</f>
        <v>100187</v>
      </c>
      <c r="B188" s="4">
        <f>'Raw Data'!B188</f>
        <v>46025</v>
      </c>
      <c r="C188" s="3" t="str">
        <f>'Raw Data'!C188</f>
        <v>KN-01</v>
      </c>
      <c r="D188" s="3" t="str">
        <f>PROPER(TRIM('Raw Data'!D188))</f>
        <v>Kano</v>
      </c>
      <c r="E188" s="3" t="str">
        <f>'Raw Data'!E188</f>
        <v>In-store</v>
      </c>
      <c r="F188" s="3" t="str">
        <f>IF(PROPER(TRIM('Raw Data'!F188))="Accessory","Accessories",PROPER(TRIM('Raw Data'!F188)))</f>
        <v>Home</v>
      </c>
      <c r="G188" s="3" t="str">
        <f>'Raw Data'!G188</f>
        <v>Standing Fan</v>
      </c>
      <c r="H188" s="3" t="str">
        <f>'Raw Data'!H188</f>
        <v>C1181</v>
      </c>
      <c r="I188" s="3" t="str">
        <f>'Raw Data'!I188</f>
        <v>New</v>
      </c>
      <c r="J188" s="3">
        <f>'Raw Data'!J188</f>
        <v>2</v>
      </c>
      <c r="K188" s="5">
        <f>'Raw Data'!K188</f>
        <v>58000</v>
      </c>
      <c r="L188" s="6">
        <f>'Raw Data'!L188</f>
        <v>0.1</v>
      </c>
      <c r="M188" s="5">
        <f>'Raw Data'!M188</f>
        <v>104400</v>
      </c>
      <c r="N188" s="5">
        <f t="shared" si="10"/>
        <v>104400</v>
      </c>
      <c r="O188" s="5">
        <f>'Raw Data'!N188</f>
        <v>39000</v>
      </c>
      <c r="P188" s="5">
        <f>IF(ISBLANK('Raw Data'!N188),AVERAGEIFS('Raw Data'!$N$2:$N$433,'Raw Data'!$G$2:$G$433,G188),'Raw Data'!N188)</f>
        <v>39000</v>
      </c>
      <c r="Q188" s="5">
        <f t="shared" si="11"/>
        <v>78000</v>
      </c>
      <c r="R188" s="5">
        <f t="shared" si="12"/>
        <v>26400</v>
      </c>
      <c r="S188" s="3" t="str">
        <f>'Raw Data'!O188</f>
        <v>No</v>
      </c>
      <c r="T188" s="3" t="str">
        <f>'Raw Data'!P188</f>
        <v>Ibrahim</v>
      </c>
      <c r="U188" s="3" t="str">
        <f t="shared" si="13"/>
        <v>January</v>
      </c>
      <c r="V188" s="11">
        <f t="shared" si="14"/>
        <v>0</v>
      </c>
    </row>
    <row r="189" spans="1:22" x14ac:dyDescent="0.25">
      <c r="A189" s="3">
        <f>'Raw Data'!A189</f>
        <v>100188</v>
      </c>
      <c r="B189" s="4">
        <f>'Raw Data'!B189</f>
        <v>46170</v>
      </c>
      <c r="C189" s="3" t="str">
        <f>'Raw Data'!C189</f>
        <v>KN-01</v>
      </c>
      <c r="D189" s="3" t="str">
        <f>PROPER(TRIM('Raw Data'!D189))</f>
        <v>Kano</v>
      </c>
      <c r="E189" s="3" t="str">
        <f>'Raw Data'!E189</f>
        <v>Online</v>
      </c>
      <c r="F189" s="3" t="str">
        <f>IF(PROPER(TRIM('Raw Data'!F189))="Accessory","Accessories",PROPER(TRIM('Raw Data'!F189)))</f>
        <v>Electronics</v>
      </c>
      <c r="G189" s="3" t="str">
        <f>'Raw Data'!G189</f>
        <v>Earbuds</v>
      </c>
      <c r="H189" s="3" t="str">
        <f>'Raw Data'!H189</f>
        <v>C1170</v>
      </c>
      <c r="I189" s="3" t="str">
        <f>'Raw Data'!I189</f>
        <v>New</v>
      </c>
      <c r="J189" s="3">
        <f>'Raw Data'!J189</f>
        <v>1</v>
      </c>
      <c r="K189" s="5">
        <f>'Raw Data'!K189</f>
        <v>32000</v>
      </c>
      <c r="L189" s="6">
        <f>'Raw Data'!L189</f>
        <v>0.1</v>
      </c>
      <c r="M189" s="5">
        <f>'Raw Data'!M189</f>
        <v>28800</v>
      </c>
      <c r="N189" s="5">
        <f t="shared" si="10"/>
        <v>28800</v>
      </c>
      <c r="O189" s="3">
        <f>'Raw Data'!N189</f>
        <v>0</v>
      </c>
      <c r="P189" s="5">
        <f>IF(ISBLANK('Raw Data'!N189),AVERAGEIFS('Raw Data'!$N$2:$N$433,'Raw Data'!$G$2:$G$433,G189),'Raw Data'!N189)</f>
        <v>19000</v>
      </c>
      <c r="Q189" s="5">
        <f t="shared" si="11"/>
        <v>19000</v>
      </c>
      <c r="R189" s="5">
        <f t="shared" si="12"/>
        <v>9800</v>
      </c>
      <c r="S189" s="3" t="str">
        <f>'Raw Data'!O189</f>
        <v>No</v>
      </c>
      <c r="T189" s="3" t="str">
        <f>'Raw Data'!P189</f>
        <v>Kemi</v>
      </c>
      <c r="U189" s="3" t="str">
        <f t="shared" si="13"/>
        <v>May</v>
      </c>
      <c r="V189" s="11">
        <f t="shared" si="14"/>
        <v>0</v>
      </c>
    </row>
    <row r="190" spans="1:22" x14ac:dyDescent="0.25">
      <c r="A190" s="3">
        <f>'Raw Data'!A190</f>
        <v>100189</v>
      </c>
      <c r="B190" s="4">
        <f>'Raw Data'!B190</f>
        <v>46136</v>
      </c>
      <c r="C190" s="3" t="str">
        <f>'Raw Data'!C190</f>
        <v>AB-02</v>
      </c>
      <c r="D190" s="3" t="str">
        <f>PROPER(TRIM('Raw Data'!D190))</f>
        <v>Abuja</v>
      </c>
      <c r="E190" s="3" t="str">
        <f>'Raw Data'!E190</f>
        <v>WhatsApp</v>
      </c>
      <c r="F190" s="3" t="str">
        <f>IF(PROPER(TRIM('Raw Data'!F190))="Accessory","Accessories",PROPER(TRIM('Raw Data'!F190)))</f>
        <v>Accessories</v>
      </c>
      <c r="G190" s="3" t="str">
        <f>'Raw Data'!G190</f>
        <v>USB Cable</v>
      </c>
      <c r="H190" s="3" t="str">
        <f>'Raw Data'!H190</f>
        <v>C1117</v>
      </c>
      <c r="I190" s="3" t="str">
        <f>'Raw Data'!I190</f>
        <v>Returning</v>
      </c>
      <c r="J190" s="3">
        <f>'Raw Data'!J190</f>
        <v>1</v>
      </c>
      <c r="K190" s="5">
        <f>'Raw Data'!K190</f>
        <v>6500</v>
      </c>
      <c r="L190" s="6">
        <f>'Raw Data'!L190</f>
        <v>0.05</v>
      </c>
      <c r="M190" s="5">
        <f>'Raw Data'!M190</f>
        <v>6175</v>
      </c>
      <c r="N190" s="5">
        <f t="shared" si="10"/>
        <v>6175</v>
      </c>
      <c r="O190" s="5">
        <f>'Raw Data'!N190</f>
        <v>2200</v>
      </c>
      <c r="P190" s="5">
        <f>IF(ISBLANK('Raw Data'!N190),AVERAGEIFS('Raw Data'!$N$2:$N$433,'Raw Data'!$G$2:$G$433,G190),'Raw Data'!N190)</f>
        <v>2200</v>
      </c>
      <c r="Q190" s="5">
        <f t="shared" si="11"/>
        <v>2200</v>
      </c>
      <c r="R190" s="5">
        <f t="shared" si="12"/>
        <v>3975</v>
      </c>
      <c r="S190" s="3" t="str">
        <f>'Raw Data'!O190</f>
        <v>No</v>
      </c>
      <c r="T190" s="3" t="str">
        <f>'Raw Data'!P190</f>
        <v>Chinedu</v>
      </c>
      <c r="U190" s="3" t="str">
        <f t="shared" si="13"/>
        <v>April</v>
      </c>
      <c r="V190" s="11">
        <f t="shared" si="14"/>
        <v>0</v>
      </c>
    </row>
    <row r="191" spans="1:22" x14ac:dyDescent="0.25">
      <c r="A191" s="3">
        <f>'Raw Data'!A191</f>
        <v>100190</v>
      </c>
      <c r="B191" s="4">
        <f>'Raw Data'!B191</f>
        <v>46158</v>
      </c>
      <c r="C191" s="3" t="str">
        <f>'Raw Data'!C191</f>
        <v>LG-01</v>
      </c>
      <c r="D191" s="3" t="str">
        <f>PROPER(TRIM('Raw Data'!D191))</f>
        <v>Lagos</v>
      </c>
      <c r="E191" s="3" t="str">
        <f>'Raw Data'!E191</f>
        <v>WhatsApp</v>
      </c>
      <c r="F191" s="3" t="str">
        <f>IF(PROPER(TRIM('Raw Data'!F191))="Accessory","Accessories",PROPER(TRIM('Raw Data'!F191)))</f>
        <v>Home</v>
      </c>
      <c r="G191" s="3" t="str">
        <f>'Raw Data'!G191</f>
        <v>Blender</v>
      </c>
      <c r="H191" s="3" t="str">
        <f>'Raw Data'!H191</f>
        <v>C1022</v>
      </c>
      <c r="I191" s="3" t="str">
        <f>'Raw Data'!I191</f>
        <v>Returning</v>
      </c>
      <c r="J191" s="3">
        <f>'Raw Data'!J191</f>
        <v>2</v>
      </c>
      <c r="K191" s="5">
        <f>'Raw Data'!K191</f>
        <v>42000</v>
      </c>
      <c r="L191" s="6">
        <f>'Raw Data'!L191</f>
        <v>0.15</v>
      </c>
      <c r="M191" s="5">
        <f>'Raw Data'!M191</f>
        <v>71400</v>
      </c>
      <c r="N191" s="5">
        <f t="shared" si="10"/>
        <v>71400</v>
      </c>
      <c r="O191" s="5">
        <f>'Raw Data'!N191</f>
        <v>28000</v>
      </c>
      <c r="P191" s="5">
        <f>IF(ISBLANK('Raw Data'!N191),AVERAGEIFS('Raw Data'!$N$2:$N$433,'Raw Data'!$G$2:$G$433,G191),'Raw Data'!N191)</f>
        <v>28000</v>
      </c>
      <c r="Q191" s="5">
        <f t="shared" si="11"/>
        <v>56000</v>
      </c>
      <c r="R191" s="5">
        <f t="shared" si="12"/>
        <v>15400</v>
      </c>
      <c r="S191" s="3" t="str">
        <f>'Raw Data'!O191</f>
        <v>No</v>
      </c>
      <c r="T191" s="3" t="str">
        <f>'Raw Data'!P191</f>
        <v>Bola</v>
      </c>
      <c r="U191" s="3" t="str">
        <f t="shared" si="13"/>
        <v>May</v>
      </c>
      <c r="V191" s="11">
        <f t="shared" si="14"/>
        <v>0</v>
      </c>
    </row>
    <row r="192" spans="1:22" x14ac:dyDescent="0.25">
      <c r="A192" s="3">
        <f>'Raw Data'!A192</f>
        <v>100191</v>
      </c>
      <c r="B192" s="4">
        <f>'Raw Data'!B192</f>
        <v>46051</v>
      </c>
      <c r="C192" s="3" t="str">
        <f>'Raw Data'!C192</f>
        <v>IB-01</v>
      </c>
      <c r="D192" s="3" t="str">
        <f>PROPER(TRIM('Raw Data'!D192))</f>
        <v>Ibadan</v>
      </c>
      <c r="E192" s="3" t="str">
        <f>'Raw Data'!E192</f>
        <v>In-store</v>
      </c>
      <c r="F192" s="3" t="str">
        <f>IF(PROPER(TRIM('Raw Data'!F192))="Accessory","Accessories",PROPER(TRIM('Raw Data'!F192)))</f>
        <v>Accessories</v>
      </c>
      <c r="G192" s="3" t="str">
        <f>'Raw Data'!G192</f>
        <v>USB Cable</v>
      </c>
      <c r="H192" s="3" t="str">
        <f>'Raw Data'!H192</f>
        <v>C1026</v>
      </c>
      <c r="I192" s="3" t="str">
        <f>'Raw Data'!I192</f>
        <v>New</v>
      </c>
      <c r="J192" s="3">
        <f>'Raw Data'!J192</f>
        <v>3</v>
      </c>
      <c r="K192" s="5">
        <f>'Raw Data'!K192</f>
        <v>6500</v>
      </c>
      <c r="L192" s="6">
        <f>'Raw Data'!L192</f>
        <v>0.1</v>
      </c>
      <c r="M192" s="5">
        <f>'Raw Data'!M192</f>
        <v>17550</v>
      </c>
      <c r="N192" s="5">
        <f t="shared" si="10"/>
        <v>17550</v>
      </c>
      <c r="O192" s="5">
        <f>'Raw Data'!N192</f>
        <v>2200</v>
      </c>
      <c r="P192" s="5">
        <f>IF(ISBLANK('Raw Data'!N192),AVERAGEIFS('Raw Data'!$N$2:$N$433,'Raw Data'!$G$2:$G$433,G192),'Raw Data'!N192)</f>
        <v>2200</v>
      </c>
      <c r="Q192" s="5">
        <f t="shared" si="11"/>
        <v>6600</v>
      </c>
      <c r="R192" s="5">
        <f t="shared" si="12"/>
        <v>10950</v>
      </c>
      <c r="S192" s="3" t="str">
        <f>'Raw Data'!O192</f>
        <v>No</v>
      </c>
      <c r="T192" s="3" t="str">
        <f>'Raw Data'!P192</f>
        <v>David</v>
      </c>
      <c r="U192" s="3" t="str">
        <f t="shared" si="13"/>
        <v>January</v>
      </c>
      <c r="V192" s="11">
        <f t="shared" si="14"/>
        <v>0</v>
      </c>
    </row>
    <row r="193" spans="1:22" x14ac:dyDescent="0.25">
      <c r="A193" s="3">
        <f>'Raw Data'!A193</f>
        <v>100192</v>
      </c>
      <c r="B193" s="4">
        <f>'Raw Data'!B193</f>
        <v>46088</v>
      </c>
      <c r="C193" s="3" t="str">
        <f>'Raw Data'!C193</f>
        <v>KN-01</v>
      </c>
      <c r="D193" s="3" t="str">
        <f>PROPER(TRIM('Raw Data'!D193))</f>
        <v>Kano</v>
      </c>
      <c r="E193" s="3" t="str">
        <f>'Raw Data'!E193</f>
        <v>Online</v>
      </c>
      <c r="F193" s="3" t="str">
        <f>IF(PROPER(TRIM('Raw Data'!F193))="Accessory","Accessories",PROPER(TRIM('Raw Data'!F193)))</f>
        <v>Electronics</v>
      </c>
      <c r="G193" s="3" t="str">
        <f>'Raw Data'!G193</f>
        <v>Smartphone</v>
      </c>
      <c r="H193" s="3" t="str">
        <f>'Raw Data'!H193</f>
        <v>C1128</v>
      </c>
      <c r="I193" s="3" t="str">
        <f>'Raw Data'!I193</f>
        <v>Returning</v>
      </c>
      <c r="J193" s="3">
        <f>'Raw Data'!J193</f>
        <v>2</v>
      </c>
      <c r="K193" s="5">
        <f>'Raw Data'!K193</f>
        <v>165000</v>
      </c>
      <c r="L193" s="6">
        <f>'Raw Data'!L193</f>
        <v>0.1</v>
      </c>
      <c r="M193" s="5">
        <f>'Raw Data'!M193</f>
        <v>267300</v>
      </c>
      <c r="N193" s="5">
        <f t="shared" si="10"/>
        <v>297000</v>
      </c>
      <c r="O193" s="5">
        <f>'Raw Data'!N193</f>
        <v>112000</v>
      </c>
      <c r="P193" s="5">
        <f>IF(ISBLANK('Raw Data'!N193),AVERAGEIFS('Raw Data'!$N$2:$N$433,'Raw Data'!$G$2:$G$433,G193),'Raw Data'!N193)</f>
        <v>112000</v>
      </c>
      <c r="Q193" s="5">
        <f t="shared" si="11"/>
        <v>224000</v>
      </c>
      <c r="R193" s="5">
        <f t="shared" si="12"/>
        <v>73000</v>
      </c>
      <c r="S193" s="3" t="str">
        <f>'Raw Data'!O193</f>
        <v>No</v>
      </c>
      <c r="T193" s="3" t="str">
        <f>'Raw Data'!P193</f>
        <v>David</v>
      </c>
      <c r="U193" s="3" t="str">
        <f t="shared" si="13"/>
        <v>March</v>
      </c>
      <c r="V193" s="11">
        <f t="shared" si="14"/>
        <v>0</v>
      </c>
    </row>
    <row r="194" spans="1:22" x14ac:dyDescent="0.25">
      <c r="A194" s="3">
        <f>'Raw Data'!A194</f>
        <v>100193</v>
      </c>
      <c r="B194" s="4">
        <f>'Raw Data'!B194</f>
        <v>46226</v>
      </c>
      <c r="C194" s="3" t="str">
        <f>'Raw Data'!C194</f>
        <v>PH-01</v>
      </c>
      <c r="D194" s="3" t="str">
        <f>PROPER(TRIM('Raw Data'!D194))</f>
        <v>Port Harcourt</v>
      </c>
      <c r="E194" s="3" t="str">
        <f>'Raw Data'!E194</f>
        <v>Online</v>
      </c>
      <c r="F194" s="3" t="str">
        <f>IF(PROPER(TRIM('Raw Data'!F194))="Accessory","Accessories",PROPER(TRIM('Raw Data'!F194)))</f>
        <v>Electronics</v>
      </c>
      <c r="G194" s="3" t="str">
        <f>'Raw Data'!G194</f>
        <v>Power Bank</v>
      </c>
      <c r="H194" s="3" t="str">
        <f>'Raw Data'!H194</f>
        <v>C1112</v>
      </c>
      <c r="I194" s="3" t="str">
        <f>'Raw Data'!I194</f>
        <v>New</v>
      </c>
      <c r="J194" s="3">
        <f>'Raw Data'!J194</f>
        <v>3</v>
      </c>
      <c r="K194" s="5">
        <f>'Raw Data'!K194</f>
        <v>26000</v>
      </c>
      <c r="L194" s="6">
        <f>'Raw Data'!L194</f>
        <v>0.1</v>
      </c>
      <c r="M194" s="5">
        <f>'Raw Data'!M194</f>
        <v>70200</v>
      </c>
      <c r="N194" s="5">
        <f t="shared" ref="N194:N257" si="15">J194*K194*(1-L194)</f>
        <v>70200</v>
      </c>
      <c r="O194" s="5">
        <f>'Raw Data'!N194</f>
        <v>15000</v>
      </c>
      <c r="P194" s="5">
        <f>IF(ISBLANK('Raw Data'!N194),AVERAGEIFS('Raw Data'!$N$2:$N$433,'Raw Data'!$G$2:$G$433,G194),'Raw Data'!N194)</f>
        <v>15000</v>
      </c>
      <c r="Q194" s="5">
        <f t="shared" ref="Q194:Q257" si="16">J194*P194</f>
        <v>45000</v>
      </c>
      <c r="R194" s="5">
        <f t="shared" ref="R194:R257" si="17">N194-Q194</f>
        <v>25200</v>
      </c>
      <c r="S194" s="3" t="str">
        <f>'Raw Data'!O194</f>
        <v>No</v>
      </c>
      <c r="T194" s="3" t="str">
        <f>'Raw Data'!P194</f>
        <v>Bola</v>
      </c>
      <c r="U194" s="3" t="str">
        <f t="shared" ref="U194:U257" si="18">TEXT(B194,"mmmm")</f>
        <v>July</v>
      </c>
      <c r="V194" s="11">
        <f t="shared" si="14"/>
        <v>0</v>
      </c>
    </row>
    <row r="195" spans="1:22" x14ac:dyDescent="0.25">
      <c r="A195" s="3">
        <f>'Raw Data'!A195</f>
        <v>100194</v>
      </c>
      <c r="B195" s="4">
        <f>'Raw Data'!B195</f>
        <v>46165</v>
      </c>
      <c r="C195" s="3" t="str">
        <f>'Raw Data'!C195</f>
        <v>AB-02</v>
      </c>
      <c r="D195" s="3" t="str">
        <f>PROPER(TRIM('Raw Data'!D195))</f>
        <v>Abuja</v>
      </c>
      <c r="E195" s="3" t="str">
        <f>'Raw Data'!E195</f>
        <v>WhatsApp</v>
      </c>
      <c r="F195" s="3" t="str">
        <f>IF(PROPER(TRIM('Raw Data'!F195))="Accessory","Accessories",PROPER(TRIM('Raw Data'!F195)))</f>
        <v>Electronics</v>
      </c>
      <c r="G195" s="3" t="str">
        <f>'Raw Data'!G195</f>
        <v>Smartphone</v>
      </c>
      <c r="H195" s="3" t="str">
        <f>'Raw Data'!H195</f>
        <v>C1150</v>
      </c>
      <c r="I195" s="3" t="str">
        <f>'Raw Data'!I195</f>
        <v>Returning</v>
      </c>
      <c r="J195" s="3">
        <f>'Raw Data'!J195</f>
        <v>3</v>
      </c>
      <c r="K195" s="5">
        <f>'Raw Data'!K195</f>
        <v>165000</v>
      </c>
      <c r="L195" s="6">
        <f>'Raw Data'!L195</f>
        <v>0.25</v>
      </c>
      <c r="M195" s="5">
        <f>'Raw Data'!M195</f>
        <v>371250</v>
      </c>
      <c r="N195" s="5">
        <f t="shared" si="15"/>
        <v>371250</v>
      </c>
      <c r="O195" s="5">
        <f>'Raw Data'!N195</f>
        <v>112000</v>
      </c>
      <c r="P195" s="5">
        <f>IF(ISBLANK('Raw Data'!N195),AVERAGEIFS('Raw Data'!$N$2:$N$433,'Raw Data'!$G$2:$G$433,G195),'Raw Data'!N195)</f>
        <v>112000</v>
      </c>
      <c r="Q195" s="5">
        <f t="shared" si="16"/>
        <v>336000</v>
      </c>
      <c r="R195" s="5">
        <f t="shared" si="17"/>
        <v>35250</v>
      </c>
      <c r="S195" s="3" t="str">
        <f>'Raw Data'!O195</f>
        <v>No</v>
      </c>
      <c r="T195" s="3" t="str">
        <f>'Raw Data'!P195</f>
        <v>Bola</v>
      </c>
      <c r="U195" s="3" t="str">
        <f t="shared" si="18"/>
        <v>May</v>
      </c>
      <c r="V195" s="11">
        <f t="shared" ref="V195:V258" si="19">IF(S195="No",0,1)</f>
        <v>0</v>
      </c>
    </row>
    <row r="196" spans="1:22" x14ac:dyDescent="0.25">
      <c r="A196" s="3">
        <f>'Raw Data'!A196</f>
        <v>100195</v>
      </c>
      <c r="B196" s="4">
        <f>'Raw Data'!B196</f>
        <v>46109</v>
      </c>
      <c r="C196" s="3" t="str">
        <f>'Raw Data'!C196</f>
        <v>PH-01</v>
      </c>
      <c r="D196" s="3" t="str">
        <f>PROPER(TRIM('Raw Data'!D196))</f>
        <v>Port Harcourt</v>
      </c>
      <c r="E196" s="3" t="str">
        <f>'Raw Data'!E196</f>
        <v>In-store</v>
      </c>
      <c r="F196" s="3" t="str">
        <f>IF(PROPER(TRIM('Raw Data'!F196))="Accessory","Accessories",PROPER(TRIM('Raw Data'!F196)))</f>
        <v>Home</v>
      </c>
      <c r="G196" s="3" t="str">
        <f>'Raw Data'!G196</f>
        <v>Electric Kettle</v>
      </c>
      <c r="H196" s="3" t="str">
        <f>'Raw Data'!H196</f>
        <v>C1188</v>
      </c>
      <c r="I196" s="3" t="str">
        <f>'Raw Data'!I196</f>
        <v>New</v>
      </c>
      <c r="J196" s="3">
        <f>'Raw Data'!J196</f>
        <v>2</v>
      </c>
      <c r="K196" s="5">
        <f>'Raw Data'!K196</f>
        <v>24000</v>
      </c>
      <c r="L196" s="6">
        <f>'Raw Data'!L196</f>
        <v>0.05</v>
      </c>
      <c r="M196" s="5">
        <f>'Raw Data'!M196</f>
        <v>45600</v>
      </c>
      <c r="N196" s="5">
        <f t="shared" si="15"/>
        <v>45600</v>
      </c>
      <c r="O196" s="5">
        <f>'Raw Data'!N196</f>
        <v>15000</v>
      </c>
      <c r="P196" s="5">
        <f>IF(ISBLANK('Raw Data'!N196),AVERAGEIFS('Raw Data'!$N$2:$N$433,'Raw Data'!$G$2:$G$433,G196),'Raw Data'!N196)</f>
        <v>15000</v>
      </c>
      <c r="Q196" s="5">
        <f t="shared" si="16"/>
        <v>30000</v>
      </c>
      <c r="R196" s="5">
        <f t="shared" si="17"/>
        <v>15600</v>
      </c>
      <c r="S196" s="3" t="str">
        <f>'Raw Data'!O196</f>
        <v>No</v>
      </c>
      <c r="T196" s="3" t="str">
        <f>'Raw Data'!P196</f>
        <v>Ibrahim</v>
      </c>
      <c r="U196" s="3" t="str">
        <f t="shared" si="18"/>
        <v>March</v>
      </c>
      <c r="V196" s="11">
        <f t="shared" si="19"/>
        <v>0</v>
      </c>
    </row>
    <row r="197" spans="1:22" x14ac:dyDescent="0.25">
      <c r="A197" s="3">
        <f>'Raw Data'!A197</f>
        <v>100196</v>
      </c>
      <c r="B197" s="4">
        <f>'Raw Data'!B197</f>
        <v>46078</v>
      </c>
      <c r="C197" s="3" t="str">
        <f>'Raw Data'!C197</f>
        <v>LG-02</v>
      </c>
      <c r="D197" s="3" t="str">
        <f>PROPER(TRIM('Raw Data'!D197))</f>
        <v>Lagos</v>
      </c>
      <c r="E197" s="3" t="str">
        <f>'Raw Data'!E197</f>
        <v>In-store</v>
      </c>
      <c r="F197" s="3" t="str">
        <f>IF(PROPER(TRIM('Raw Data'!F197))="Accessory","Accessories",PROPER(TRIM('Raw Data'!F197)))</f>
        <v>Electronics</v>
      </c>
      <c r="G197" s="3" t="str">
        <f>'Raw Data'!G197</f>
        <v>Earbuds</v>
      </c>
      <c r="H197" s="3" t="str">
        <f>'Raw Data'!H197</f>
        <v>C1147</v>
      </c>
      <c r="I197" s="3" t="str">
        <f>'Raw Data'!I197</f>
        <v>Returning</v>
      </c>
      <c r="J197" s="3">
        <f>'Raw Data'!J197</f>
        <v>4</v>
      </c>
      <c r="K197" s="5">
        <f>'Raw Data'!K197</f>
        <v>32000</v>
      </c>
      <c r="L197" s="6">
        <f>'Raw Data'!L197</f>
        <v>0.1</v>
      </c>
      <c r="M197" s="5">
        <f>'Raw Data'!M197</f>
        <v>115200</v>
      </c>
      <c r="N197" s="5">
        <f t="shared" si="15"/>
        <v>115200</v>
      </c>
      <c r="O197" s="5">
        <f>'Raw Data'!N197</f>
        <v>19000</v>
      </c>
      <c r="P197" s="5">
        <f>IF(ISBLANK('Raw Data'!N197),AVERAGEIFS('Raw Data'!$N$2:$N$433,'Raw Data'!$G$2:$G$433,G197),'Raw Data'!N197)</f>
        <v>19000</v>
      </c>
      <c r="Q197" s="5">
        <f t="shared" si="16"/>
        <v>76000</v>
      </c>
      <c r="R197" s="5">
        <f t="shared" si="17"/>
        <v>39200</v>
      </c>
      <c r="S197" s="3" t="str">
        <f>'Raw Data'!O197</f>
        <v>No</v>
      </c>
      <c r="T197" s="3" t="str">
        <f>'Raw Data'!P197</f>
        <v>Grace</v>
      </c>
      <c r="U197" s="3" t="str">
        <f t="shared" si="18"/>
        <v>February</v>
      </c>
      <c r="V197" s="11">
        <f t="shared" si="19"/>
        <v>0</v>
      </c>
    </row>
    <row r="198" spans="1:22" x14ac:dyDescent="0.25">
      <c r="A198" s="3">
        <f>'Raw Data'!A198</f>
        <v>100197</v>
      </c>
      <c r="B198" s="4">
        <f>'Raw Data'!B198</f>
        <v>46235</v>
      </c>
      <c r="C198" s="3" t="str">
        <f>'Raw Data'!C198</f>
        <v>AB-01</v>
      </c>
      <c r="D198" s="3" t="str">
        <f>PROPER(TRIM('Raw Data'!D198))</f>
        <v>Abuja</v>
      </c>
      <c r="E198" s="3" t="str">
        <f>'Raw Data'!E198</f>
        <v>Online</v>
      </c>
      <c r="F198" s="3" t="str">
        <f>IF(PROPER(TRIM('Raw Data'!F198))="Accessory","Accessories",PROPER(TRIM('Raw Data'!F198)))</f>
        <v>Accessories</v>
      </c>
      <c r="G198" s="3" t="str">
        <f>'Raw Data'!G198</f>
        <v>Phone Case</v>
      </c>
      <c r="H198" s="3" t="str">
        <f>'Raw Data'!H198</f>
        <v>C1152</v>
      </c>
      <c r="I198" s="3" t="str">
        <f>'Raw Data'!I198</f>
        <v>Returning</v>
      </c>
      <c r="J198" s="3">
        <f>'Raw Data'!J198</f>
        <v>1</v>
      </c>
      <c r="K198" s="5">
        <f>'Raw Data'!K198</f>
        <v>9000</v>
      </c>
      <c r="L198" s="6">
        <f>'Raw Data'!L198</f>
        <v>0.25</v>
      </c>
      <c r="M198" s="5">
        <f>'Raw Data'!M198</f>
        <v>6750</v>
      </c>
      <c r="N198" s="5">
        <f t="shared" si="15"/>
        <v>6750</v>
      </c>
      <c r="O198" s="5">
        <f>'Raw Data'!N198</f>
        <v>3500</v>
      </c>
      <c r="P198" s="5">
        <f>IF(ISBLANK('Raw Data'!N198),AVERAGEIFS('Raw Data'!$N$2:$N$433,'Raw Data'!$G$2:$G$433,G198),'Raw Data'!N198)</f>
        <v>3500</v>
      </c>
      <c r="Q198" s="5">
        <f t="shared" si="16"/>
        <v>3500</v>
      </c>
      <c r="R198" s="5">
        <f t="shared" si="17"/>
        <v>3250</v>
      </c>
      <c r="S198" s="3" t="str">
        <f>'Raw Data'!O198</f>
        <v>Yes</v>
      </c>
      <c r="T198" s="3" t="str">
        <f>'Raw Data'!P198</f>
        <v>Kemi</v>
      </c>
      <c r="U198" s="3" t="str">
        <f t="shared" si="18"/>
        <v>August</v>
      </c>
      <c r="V198" s="11">
        <f t="shared" si="19"/>
        <v>1</v>
      </c>
    </row>
    <row r="199" spans="1:22" x14ac:dyDescent="0.25">
      <c r="A199" s="3">
        <f>'Raw Data'!A199</f>
        <v>100198</v>
      </c>
      <c r="B199" s="4">
        <f>'Raw Data'!B199</f>
        <v>46142</v>
      </c>
      <c r="C199" s="3" t="str">
        <f>'Raw Data'!C199</f>
        <v>KN-01</v>
      </c>
      <c r="D199" s="3" t="str">
        <f>PROPER(TRIM('Raw Data'!D199))</f>
        <v>Kano</v>
      </c>
      <c r="E199" s="3" t="str">
        <f>'Raw Data'!E199</f>
        <v>Online</v>
      </c>
      <c r="F199" s="3" t="str">
        <f>IF(PROPER(TRIM('Raw Data'!F199))="Accessory","Accessories",PROPER(TRIM('Raw Data'!F199)))</f>
        <v>Electronics</v>
      </c>
      <c r="G199" s="3" t="str">
        <f>'Raw Data'!G199</f>
        <v>Smartphone</v>
      </c>
      <c r="H199" s="3" t="str">
        <f>'Raw Data'!H199</f>
        <v>C1024</v>
      </c>
      <c r="I199" s="3" t="str">
        <f>'Raw Data'!I199</f>
        <v>Returning</v>
      </c>
      <c r="J199" s="3">
        <f>'Raw Data'!J199</f>
        <v>2</v>
      </c>
      <c r="K199" s="5">
        <f>'Raw Data'!K199</f>
        <v>165000</v>
      </c>
      <c r="L199" s="6">
        <f>'Raw Data'!L199</f>
        <v>0.05</v>
      </c>
      <c r="M199" s="5">
        <f>'Raw Data'!M199</f>
        <v>313500</v>
      </c>
      <c r="N199" s="5">
        <f t="shared" si="15"/>
        <v>313500</v>
      </c>
      <c r="O199" s="5">
        <f>'Raw Data'!N199</f>
        <v>112000</v>
      </c>
      <c r="P199" s="5">
        <f>IF(ISBLANK('Raw Data'!N199),AVERAGEIFS('Raw Data'!$N$2:$N$433,'Raw Data'!$G$2:$G$433,G199),'Raw Data'!N199)</f>
        <v>112000</v>
      </c>
      <c r="Q199" s="5">
        <f t="shared" si="16"/>
        <v>224000</v>
      </c>
      <c r="R199" s="5">
        <f t="shared" si="17"/>
        <v>89500</v>
      </c>
      <c r="S199" s="3" t="str">
        <f>'Raw Data'!O199</f>
        <v>No</v>
      </c>
      <c r="T199" s="3" t="str">
        <f>'Raw Data'!P199</f>
        <v>Fatima</v>
      </c>
      <c r="U199" s="3" t="str">
        <f t="shared" si="18"/>
        <v>April</v>
      </c>
      <c r="V199" s="11">
        <f t="shared" si="19"/>
        <v>0</v>
      </c>
    </row>
    <row r="200" spans="1:22" x14ac:dyDescent="0.25">
      <c r="A200" s="3">
        <f>'Raw Data'!A200</f>
        <v>100199</v>
      </c>
      <c r="B200" s="4">
        <f>'Raw Data'!B200</f>
        <v>46170</v>
      </c>
      <c r="C200" s="3" t="str">
        <f>'Raw Data'!C200</f>
        <v>IB-01</v>
      </c>
      <c r="D200" s="3" t="str">
        <f>PROPER(TRIM('Raw Data'!D200))</f>
        <v>Ibadan</v>
      </c>
      <c r="E200" s="3" t="str">
        <f>'Raw Data'!E200</f>
        <v>WhatsApp</v>
      </c>
      <c r="F200" s="3" t="str">
        <f>IF(PROPER(TRIM('Raw Data'!F200))="Accessory","Accessories",PROPER(TRIM('Raw Data'!F200)))</f>
        <v>Accessories</v>
      </c>
      <c r="G200" s="3" t="str">
        <f>'Raw Data'!G200</f>
        <v>Backpack</v>
      </c>
      <c r="H200" s="3" t="str">
        <f>'Raw Data'!H200</f>
        <v>C1135</v>
      </c>
      <c r="I200" s="3" t="str">
        <f>'Raw Data'!I200</f>
        <v>Returning</v>
      </c>
      <c r="J200" s="3">
        <f>'Raw Data'!J200</f>
        <v>2</v>
      </c>
      <c r="K200" s="5">
        <f>'Raw Data'!K200</f>
        <v>28000</v>
      </c>
      <c r="L200" s="6">
        <f>'Raw Data'!L200</f>
        <v>0.05</v>
      </c>
      <c r="M200" s="5">
        <f>'Raw Data'!M200</f>
        <v>53200</v>
      </c>
      <c r="N200" s="5">
        <f t="shared" si="15"/>
        <v>53200</v>
      </c>
      <c r="O200" s="5">
        <f>'Raw Data'!N200</f>
        <v>16000</v>
      </c>
      <c r="P200" s="5">
        <f>IF(ISBLANK('Raw Data'!N200),AVERAGEIFS('Raw Data'!$N$2:$N$433,'Raw Data'!$G$2:$G$433,G200),'Raw Data'!N200)</f>
        <v>16000</v>
      </c>
      <c r="Q200" s="5">
        <f t="shared" si="16"/>
        <v>32000</v>
      </c>
      <c r="R200" s="5">
        <f t="shared" si="17"/>
        <v>21200</v>
      </c>
      <c r="S200" s="3" t="str">
        <f>'Raw Data'!O200</f>
        <v>No</v>
      </c>
      <c r="T200" s="3" t="str">
        <f>'Raw Data'!P200</f>
        <v>David</v>
      </c>
      <c r="U200" s="3" t="str">
        <f t="shared" si="18"/>
        <v>May</v>
      </c>
      <c r="V200" s="11">
        <f t="shared" si="19"/>
        <v>0</v>
      </c>
    </row>
    <row r="201" spans="1:22" x14ac:dyDescent="0.25">
      <c r="A201" s="3">
        <f>'Raw Data'!A201</f>
        <v>100200</v>
      </c>
      <c r="B201" s="4">
        <f>'Raw Data'!B201</f>
        <v>46024</v>
      </c>
      <c r="C201" s="3" t="str">
        <f>'Raw Data'!C201</f>
        <v>KN-01</v>
      </c>
      <c r="D201" s="3" t="str">
        <f>PROPER(TRIM('Raw Data'!D201))</f>
        <v>Kano</v>
      </c>
      <c r="E201" s="3" t="str">
        <f>'Raw Data'!E201</f>
        <v>In-store</v>
      </c>
      <c r="F201" s="3" t="str">
        <f>IF(PROPER(TRIM('Raw Data'!F201))="Accessory","Accessories",PROPER(TRIM('Raw Data'!F201)))</f>
        <v>Accessories</v>
      </c>
      <c r="G201" s="3" t="str">
        <f>'Raw Data'!G201</f>
        <v>Backpack</v>
      </c>
      <c r="H201" s="3" t="str">
        <f>'Raw Data'!H201</f>
        <v>C1108</v>
      </c>
      <c r="I201" s="3" t="str">
        <f>'Raw Data'!I201</f>
        <v>Returning</v>
      </c>
      <c r="J201" s="3">
        <f>'Raw Data'!J201</f>
        <v>2</v>
      </c>
      <c r="K201" s="5">
        <f>'Raw Data'!K201</f>
        <v>28000</v>
      </c>
      <c r="L201" s="6">
        <f>'Raw Data'!L201</f>
        <v>0.05</v>
      </c>
      <c r="M201" s="5">
        <f>'Raw Data'!M201</f>
        <v>53200</v>
      </c>
      <c r="N201" s="5">
        <f t="shared" si="15"/>
        <v>53200</v>
      </c>
      <c r="O201" s="5">
        <f>'Raw Data'!N201</f>
        <v>16000</v>
      </c>
      <c r="P201" s="5">
        <f>IF(ISBLANK('Raw Data'!N201),AVERAGEIFS('Raw Data'!$N$2:$N$433,'Raw Data'!$G$2:$G$433,G201),'Raw Data'!N201)</f>
        <v>16000</v>
      </c>
      <c r="Q201" s="5">
        <f t="shared" si="16"/>
        <v>32000</v>
      </c>
      <c r="R201" s="5">
        <f t="shared" si="17"/>
        <v>21200</v>
      </c>
      <c r="S201" s="3" t="str">
        <f>'Raw Data'!O201</f>
        <v>No</v>
      </c>
      <c r="T201" s="3" t="str">
        <f>'Raw Data'!P201</f>
        <v>Ibrahim</v>
      </c>
      <c r="U201" s="3" t="str">
        <f t="shared" si="18"/>
        <v>January</v>
      </c>
      <c r="V201" s="11">
        <f t="shared" si="19"/>
        <v>0</v>
      </c>
    </row>
    <row r="202" spans="1:22" x14ac:dyDescent="0.25">
      <c r="A202" s="3">
        <f>'Raw Data'!A202</f>
        <v>100201</v>
      </c>
      <c r="B202" s="4">
        <f>'Raw Data'!B202</f>
        <v>46075</v>
      </c>
      <c r="C202" s="3" t="str">
        <f>'Raw Data'!C202</f>
        <v>KN-01</v>
      </c>
      <c r="D202" s="3" t="str">
        <f>PROPER(TRIM('Raw Data'!D202))</f>
        <v>Kano</v>
      </c>
      <c r="E202" s="3" t="str">
        <f>'Raw Data'!E202</f>
        <v>Online</v>
      </c>
      <c r="F202" s="3" t="str">
        <f>IF(PROPER(TRIM('Raw Data'!F202))="Accessory","Accessories",PROPER(TRIM('Raw Data'!F202)))</f>
        <v>Accessories</v>
      </c>
      <c r="G202" s="3" t="str">
        <f>'Raw Data'!G202</f>
        <v>USB Cable</v>
      </c>
      <c r="H202" s="3" t="str">
        <f>'Raw Data'!H202</f>
        <v>C1161</v>
      </c>
      <c r="I202" s="3" t="str">
        <f>'Raw Data'!I202</f>
        <v>New</v>
      </c>
      <c r="J202" s="3">
        <f>'Raw Data'!J202</f>
        <v>4</v>
      </c>
      <c r="K202" s="5">
        <f>'Raw Data'!K202</f>
        <v>6500</v>
      </c>
      <c r="L202" s="6">
        <f>'Raw Data'!L202</f>
        <v>0</v>
      </c>
      <c r="M202" s="5">
        <f>'Raw Data'!M202</f>
        <v>26000</v>
      </c>
      <c r="N202" s="5">
        <f t="shared" si="15"/>
        <v>26000</v>
      </c>
      <c r="O202" s="5">
        <f>'Raw Data'!N202</f>
        <v>2200</v>
      </c>
      <c r="P202" s="5">
        <f>IF(ISBLANK('Raw Data'!N202),AVERAGEIFS('Raw Data'!$N$2:$N$433,'Raw Data'!$G$2:$G$433,G202),'Raw Data'!N202)</f>
        <v>2200</v>
      </c>
      <c r="Q202" s="5">
        <f t="shared" si="16"/>
        <v>8800</v>
      </c>
      <c r="R202" s="5">
        <f t="shared" si="17"/>
        <v>17200</v>
      </c>
      <c r="S202" s="3" t="str">
        <f>'Raw Data'!O202</f>
        <v>Yes</v>
      </c>
      <c r="T202" s="3" t="str">
        <f>'Raw Data'!P202</f>
        <v>Aisha</v>
      </c>
      <c r="U202" s="3" t="str">
        <f t="shared" si="18"/>
        <v>February</v>
      </c>
      <c r="V202" s="11">
        <f t="shared" si="19"/>
        <v>1</v>
      </c>
    </row>
    <row r="203" spans="1:22" x14ac:dyDescent="0.25">
      <c r="A203" s="3">
        <f>'Raw Data'!A203</f>
        <v>100202</v>
      </c>
      <c r="B203" s="4">
        <f>'Raw Data'!B203</f>
        <v>46228</v>
      </c>
      <c r="C203" s="3" t="str">
        <f>'Raw Data'!C203</f>
        <v>AB-01</v>
      </c>
      <c r="D203" s="3" t="str">
        <f>PROPER(TRIM('Raw Data'!D203))</f>
        <v>Abuja</v>
      </c>
      <c r="E203" s="3" t="str">
        <f>'Raw Data'!E203</f>
        <v>Online</v>
      </c>
      <c r="F203" s="3" t="str">
        <f>IF(PROPER(TRIM('Raw Data'!F203))="Accessory","Accessories",PROPER(TRIM('Raw Data'!F203)))</f>
        <v>Accessories</v>
      </c>
      <c r="G203" s="3" t="str">
        <f>'Raw Data'!G203</f>
        <v>USB Cable</v>
      </c>
      <c r="H203" s="3" t="str">
        <f>'Raw Data'!H203</f>
        <v>C1097</v>
      </c>
      <c r="I203" s="3" t="str">
        <f>'Raw Data'!I203</f>
        <v>New</v>
      </c>
      <c r="J203" s="3">
        <f>'Raw Data'!J203</f>
        <v>1</v>
      </c>
      <c r="K203" s="5">
        <f>'Raw Data'!K203</f>
        <v>6500</v>
      </c>
      <c r="L203" s="6">
        <f>'Raw Data'!L203</f>
        <v>0.05</v>
      </c>
      <c r="M203" s="5">
        <f>'Raw Data'!M203</f>
        <v>6175</v>
      </c>
      <c r="N203" s="5">
        <f t="shared" si="15"/>
        <v>6175</v>
      </c>
      <c r="O203" s="5">
        <f>'Raw Data'!N203</f>
        <v>2200</v>
      </c>
      <c r="P203" s="5">
        <f>IF(ISBLANK('Raw Data'!N203),AVERAGEIFS('Raw Data'!$N$2:$N$433,'Raw Data'!$G$2:$G$433,G203),'Raw Data'!N203)</f>
        <v>2200</v>
      </c>
      <c r="Q203" s="5">
        <f t="shared" si="16"/>
        <v>2200</v>
      </c>
      <c r="R203" s="5">
        <f t="shared" si="17"/>
        <v>3975</v>
      </c>
      <c r="S203" s="3" t="str">
        <f>'Raw Data'!O203</f>
        <v>No</v>
      </c>
      <c r="T203" s="3" t="str">
        <f>'Raw Data'!P203</f>
        <v>Fatima</v>
      </c>
      <c r="U203" s="3" t="str">
        <f t="shared" si="18"/>
        <v>July</v>
      </c>
      <c r="V203" s="11">
        <f t="shared" si="19"/>
        <v>0</v>
      </c>
    </row>
    <row r="204" spans="1:22" x14ac:dyDescent="0.25">
      <c r="A204" s="3">
        <f>'Raw Data'!A204</f>
        <v>100203</v>
      </c>
      <c r="B204" s="4">
        <f>'Raw Data'!B204</f>
        <v>46151</v>
      </c>
      <c r="C204" s="3" t="str">
        <f>'Raw Data'!C204</f>
        <v>AB-01</v>
      </c>
      <c r="D204" s="3" t="str">
        <f>PROPER(TRIM('Raw Data'!D204))</f>
        <v>Abuja</v>
      </c>
      <c r="E204" s="3" t="str">
        <f>'Raw Data'!E204</f>
        <v>In-store</v>
      </c>
      <c r="F204" s="3" t="str">
        <f>IF(PROPER(TRIM('Raw Data'!F204))="Accessory","Accessories",PROPER(TRIM('Raw Data'!F204)))</f>
        <v>Electronics</v>
      </c>
      <c r="G204" s="3" t="str">
        <f>'Raw Data'!G204</f>
        <v>Smartphone</v>
      </c>
      <c r="H204" s="3" t="str">
        <f>'Raw Data'!H204</f>
        <v>C1062</v>
      </c>
      <c r="I204" s="3" t="str">
        <f>'Raw Data'!I204</f>
        <v>Returning</v>
      </c>
      <c r="J204" s="3">
        <f>'Raw Data'!J204</f>
        <v>1</v>
      </c>
      <c r="K204" s="5">
        <f>'Raw Data'!K204</f>
        <v>165000</v>
      </c>
      <c r="L204" s="6">
        <f>'Raw Data'!L204</f>
        <v>0.25</v>
      </c>
      <c r="M204" s="5">
        <f>'Raw Data'!M204</f>
        <v>123750</v>
      </c>
      <c r="N204" s="5">
        <f t="shared" si="15"/>
        <v>123750</v>
      </c>
      <c r="O204" s="5">
        <f>'Raw Data'!N204</f>
        <v>112000</v>
      </c>
      <c r="P204" s="5">
        <f>IF(ISBLANK('Raw Data'!N204),AVERAGEIFS('Raw Data'!$N$2:$N$433,'Raw Data'!$G$2:$G$433,G204),'Raw Data'!N204)</f>
        <v>112000</v>
      </c>
      <c r="Q204" s="5">
        <f t="shared" si="16"/>
        <v>112000</v>
      </c>
      <c r="R204" s="5">
        <f t="shared" si="17"/>
        <v>11750</v>
      </c>
      <c r="S204" s="3" t="str">
        <f>'Raw Data'!O204</f>
        <v>No</v>
      </c>
      <c r="T204" s="3" t="str">
        <f>'Raw Data'!P204</f>
        <v>Ibrahim</v>
      </c>
      <c r="U204" s="3" t="str">
        <f t="shared" si="18"/>
        <v>May</v>
      </c>
      <c r="V204" s="11">
        <f t="shared" si="19"/>
        <v>0</v>
      </c>
    </row>
    <row r="205" spans="1:22" x14ac:dyDescent="0.25">
      <c r="A205" s="3">
        <f>'Raw Data'!A205</f>
        <v>100204</v>
      </c>
      <c r="B205" s="4">
        <f>'Raw Data'!B205</f>
        <v>46099</v>
      </c>
      <c r="C205" s="3" t="str">
        <f>'Raw Data'!C205</f>
        <v>AB-02</v>
      </c>
      <c r="D205" s="3" t="str">
        <f>PROPER(TRIM('Raw Data'!D205))</f>
        <v>Abuja</v>
      </c>
      <c r="E205" s="3" t="str">
        <f>'Raw Data'!E205</f>
        <v>In-store</v>
      </c>
      <c r="F205" s="3" t="str">
        <f>IF(PROPER(TRIM('Raw Data'!F205))="Accessory","Accessories",PROPER(TRIM('Raw Data'!F205)))</f>
        <v>Accessories</v>
      </c>
      <c r="G205" s="3" t="str">
        <f>'Raw Data'!G205</f>
        <v>Phone Case</v>
      </c>
      <c r="H205" s="3" t="str">
        <f>'Raw Data'!H205</f>
        <v>C1021</v>
      </c>
      <c r="I205" s="3" t="str">
        <f>'Raw Data'!I205</f>
        <v>Returning</v>
      </c>
      <c r="J205" s="3">
        <f>'Raw Data'!J205</f>
        <v>3</v>
      </c>
      <c r="K205" s="5">
        <f>'Raw Data'!K205</f>
        <v>9000</v>
      </c>
      <c r="L205" s="6">
        <f>'Raw Data'!L205</f>
        <v>0.25</v>
      </c>
      <c r="M205" s="5">
        <f>'Raw Data'!M205</f>
        <v>20250</v>
      </c>
      <c r="N205" s="5">
        <f t="shared" si="15"/>
        <v>20250</v>
      </c>
      <c r="O205" s="5">
        <f>'Raw Data'!N205</f>
        <v>3500</v>
      </c>
      <c r="P205" s="5">
        <f>IF(ISBLANK('Raw Data'!N205),AVERAGEIFS('Raw Data'!$N$2:$N$433,'Raw Data'!$G$2:$G$433,G205),'Raw Data'!N205)</f>
        <v>3500</v>
      </c>
      <c r="Q205" s="5">
        <f t="shared" si="16"/>
        <v>10500</v>
      </c>
      <c r="R205" s="5">
        <f t="shared" si="17"/>
        <v>9750</v>
      </c>
      <c r="S205" s="3" t="str">
        <f>'Raw Data'!O205</f>
        <v>No</v>
      </c>
      <c r="T205" s="3" t="str">
        <f>'Raw Data'!P205</f>
        <v>Fatima</v>
      </c>
      <c r="U205" s="3" t="str">
        <f t="shared" si="18"/>
        <v>March</v>
      </c>
      <c r="V205" s="11">
        <f t="shared" si="19"/>
        <v>0</v>
      </c>
    </row>
    <row r="206" spans="1:22" x14ac:dyDescent="0.25">
      <c r="A206" s="3">
        <f>'Raw Data'!A206</f>
        <v>100205</v>
      </c>
      <c r="B206" s="4">
        <f>'Raw Data'!B206</f>
        <v>46032</v>
      </c>
      <c r="C206" s="3" t="str">
        <f>'Raw Data'!C206</f>
        <v>PH-01</v>
      </c>
      <c r="D206" s="3" t="str">
        <f>PROPER(TRIM('Raw Data'!D206))</f>
        <v>Port Harcourt</v>
      </c>
      <c r="E206" s="3" t="str">
        <f>'Raw Data'!E206</f>
        <v>Online</v>
      </c>
      <c r="F206" s="3" t="str">
        <f>IF(PROPER(TRIM('Raw Data'!F206))="Accessory","Accessories",PROPER(TRIM('Raw Data'!F206)))</f>
        <v>Home</v>
      </c>
      <c r="G206" s="3" t="str">
        <f>'Raw Data'!G206</f>
        <v>Electric Kettle</v>
      </c>
      <c r="H206" s="3" t="str">
        <f>'Raw Data'!H206</f>
        <v>C1131</v>
      </c>
      <c r="I206" s="3" t="str">
        <f>'Raw Data'!I206</f>
        <v>New</v>
      </c>
      <c r="J206" s="3">
        <f>'Raw Data'!J206</f>
        <v>5</v>
      </c>
      <c r="K206" s="5">
        <f>'Raw Data'!K206</f>
        <v>24000</v>
      </c>
      <c r="L206" s="6">
        <f>'Raw Data'!L206</f>
        <v>0.1</v>
      </c>
      <c r="M206" s="5">
        <f>'Raw Data'!M206</f>
        <v>108000</v>
      </c>
      <c r="N206" s="5">
        <f t="shared" si="15"/>
        <v>108000</v>
      </c>
      <c r="O206" s="5">
        <f>'Raw Data'!N206</f>
        <v>15000</v>
      </c>
      <c r="P206" s="5">
        <f>IF(ISBLANK('Raw Data'!N206),AVERAGEIFS('Raw Data'!$N$2:$N$433,'Raw Data'!$G$2:$G$433,G206),'Raw Data'!N206)</f>
        <v>15000</v>
      </c>
      <c r="Q206" s="5">
        <f t="shared" si="16"/>
        <v>75000</v>
      </c>
      <c r="R206" s="5">
        <f t="shared" si="17"/>
        <v>33000</v>
      </c>
      <c r="S206" s="3" t="str">
        <f>'Raw Data'!O206</f>
        <v>No</v>
      </c>
      <c r="T206" s="3" t="str">
        <f>'Raw Data'!P206</f>
        <v>Grace</v>
      </c>
      <c r="U206" s="3" t="str">
        <f t="shared" si="18"/>
        <v>January</v>
      </c>
      <c r="V206" s="11">
        <f t="shared" si="19"/>
        <v>0</v>
      </c>
    </row>
    <row r="207" spans="1:22" x14ac:dyDescent="0.25">
      <c r="A207" s="3">
        <f>'Raw Data'!A207</f>
        <v>100206</v>
      </c>
      <c r="B207" s="4">
        <f>'Raw Data'!B207</f>
        <v>46244</v>
      </c>
      <c r="C207" s="3" t="str">
        <f>'Raw Data'!C207</f>
        <v>LG-02</v>
      </c>
      <c r="D207" s="3" t="str">
        <f>PROPER(TRIM('Raw Data'!D207))</f>
        <v>Lagos</v>
      </c>
      <c r="E207" s="3" t="str">
        <f>'Raw Data'!E207</f>
        <v>WhatsApp</v>
      </c>
      <c r="F207" s="3" t="str">
        <f>IF(PROPER(TRIM('Raw Data'!F207))="Accessory","Accessories",PROPER(TRIM('Raw Data'!F207)))</f>
        <v>Home</v>
      </c>
      <c r="G207" s="3" t="str">
        <f>'Raw Data'!G207</f>
        <v>Standing Fan</v>
      </c>
      <c r="H207" s="3" t="str">
        <f>'Raw Data'!H207</f>
        <v>C1097</v>
      </c>
      <c r="I207" s="3" t="str">
        <f>'Raw Data'!I207</f>
        <v>New</v>
      </c>
      <c r="J207" s="3">
        <f>'Raw Data'!J207</f>
        <v>1</v>
      </c>
      <c r="K207" s="5">
        <f>'Raw Data'!K207</f>
        <v>58000</v>
      </c>
      <c r="L207" s="6">
        <f>'Raw Data'!L207</f>
        <v>0.15</v>
      </c>
      <c r="M207" s="5">
        <f>'Raw Data'!M207</f>
        <v>49300</v>
      </c>
      <c r="N207" s="5">
        <f t="shared" si="15"/>
        <v>49300</v>
      </c>
      <c r="O207" s="5">
        <f>'Raw Data'!N207</f>
        <v>39000</v>
      </c>
      <c r="P207" s="5">
        <f>IF(ISBLANK('Raw Data'!N207),AVERAGEIFS('Raw Data'!$N$2:$N$433,'Raw Data'!$G$2:$G$433,G207),'Raw Data'!N207)</f>
        <v>39000</v>
      </c>
      <c r="Q207" s="5">
        <f t="shared" si="16"/>
        <v>39000</v>
      </c>
      <c r="R207" s="5">
        <f t="shared" si="17"/>
        <v>10300</v>
      </c>
      <c r="S207" s="3" t="str">
        <f>'Raw Data'!O207</f>
        <v>No</v>
      </c>
      <c r="T207" s="3" t="str">
        <f>'Raw Data'!P207</f>
        <v>Aisha</v>
      </c>
      <c r="U207" s="3" t="str">
        <f t="shared" si="18"/>
        <v>August</v>
      </c>
      <c r="V207" s="11">
        <f t="shared" si="19"/>
        <v>0</v>
      </c>
    </row>
    <row r="208" spans="1:22" x14ac:dyDescent="0.25">
      <c r="A208" s="3">
        <f>'Raw Data'!A208</f>
        <v>100207</v>
      </c>
      <c r="B208" s="4">
        <f>'Raw Data'!B208</f>
        <v>46112</v>
      </c>
      <c r="C208" s="3" t="str">
        <f>'Raw Data'!C208</f>
        <v>IB-01</v>
      </c>
      <c r="D208" s="3" t="str">
        <f>PROPER(TRIM('Raw Data'!D208))</f>
        <v>Ibadan</v>
      </c>
      <c r="E208" s="3" t="str">
        <f>'Raw Data'!E208</f>
        <v>In-store</v>
      </c>
      <c r="F208" s="3" t="str">
        <f>IF(PROPER(TRIM('Raw Data'!F208))="Accessory","Accessories",PROPER(TRIM('Raw Data'!F208)))</f>
        <v>Electronics</v>
      </c>
      <c r="G208" s="3" t="str">
        <f>'Raw Data'!G208</f>
        <v>Smartphone</v>
      </c>
      <c r="H208" s="3" t="str">
        <f>'Raw Data'!H208</f>
        <v>C1166</v>
      </c>
      <c r="I208" s="3" t="str">
        <f>'Raw Data'!I208</f>
        <v>Returning</v>
      </c>
      <c r="J208" s="3">
        <f>'Raw Data'!J208</f>
        <v>1</v>
      </c>
      <c r="K208" s="5">
        <f>'Raw Data'!K208</f>
        <v>165000</v>
      </c>
      <c r="L208" s="6">
        <f>'Raw Data'!L208</f>
        <v>0.1</v>
      </c>
      <c r="M208" s="5">
        <f>'Raw Data'!M208</f>
        <v>148500</v>
      </c>
      <c r="N208" s="5">
        <f t="shared" si="15"/>
        <v>148500</v>
      </c>
      <c r="O208" s="5">
        <f>'Raw Data'!N208</f>
        <v>112000</v>
      </c>
      <c r="P208" s="5">
        <f>IF(ISBLANK('Raw Data'!N208),AVERAGEIFS('Raw Data'!$N$2:$N$433,'Raw Data'!$G$2:$G$433,G208),'Raw Data'!N208)</f>
        <v>112000</v>
      </c>
      <c r="Q208" s="5">
        <f t="shared" si="16"/>
        <v>112000</v>
      </c>
      <c r="R208" s="5">
        <f t="shared" si="17"/>
        <v>36500</v>
      </c>
      <c r="S208" s="3" t="str">
        <f>'Raw Data'!O208</f>
        <v>No</v>
      </c>
      <c r="T208" s="3" t="str">
        <f>'Raw Data'!P208</f>
        <v>Kemi</v>
      </c>
      <c r="U208" s="3" t="str">
        <f t="shared" si="18"/>
        <v>March</v>
      </c>
      <c r="V208" s="11">
        <f t="shared" si="19"/>
        <v>0</v>
      </c>
    </row>
    <row r="209" spans="1:22" x14ac:dyDescent="0.25">
      <c r="A209" s="3">
        <f>'Raw Data'!A209</f>
        <v>100208</v>
      </c>
      <c r="B209" s="4">
        <f>'Raw Data'!B209</f>
        <v>46100</v>
      </c>
      <c r="C209" s="3" t="str">
        <f>'Raw Data'!C209</f>
        <v>AB-02</v>
      </c>
      <c r="D209" s="3" t="str">
        <f>PROPER(TRIM('Raw Data'!D209))</f>
        <v>Abuja</v>
      </c>
      <c r="E209" s="3" t="str">
        <f>'Raw Data'!E209</f>
        <v>In-store</v>
      </c>
      <c r="F209" s="3" t="str">
        <f>IF(PROPER(TRIM('Raw Data'!F209))="Accessory","Accessories",PROPER(TRIM('Raw Data'!F209)))</f>
        <v>Home</v>
      </c>
      <c r="G209" s="3" t="str">
        <f>'Raw Data'!G209</f>
        <v>Standing Fan</v>
      </c>
      <c r="H209" s="3" t="str">
        <f>'Raw Data'!H209</f>
        <v>C1076</v>
      </c>
      <c r="I209" s="3" t="str">
        <f>'Raw Data'!I209</f>
        <v>Returning</v>
      </c>
      <c r="J209" s="3">
        <f>'Raw Data'!J209</f>
        <v>2</v>
      </c>
      <c r="K209" s="5">
        <f>'Raw Data'!K209</f>
        <v>58000</v>
      </c>
      <c r="L209" s="6">
        <f>'Raw Data'!L209</f>
        <v>0.15</v>
      </c>
      <c r="M209" s="5">
        <f>'Raw Data'!M209</f>
        <v>98600</v>
      </c>
      <c r="N209" s="5">
        <f t="shared" si="15"/>
        <v>98600</v>
      </c>
      <c r="O209" s="3">
        <f>'Raw Data'!N209</f>
        <v>0</v>
      </c>
      <c r="P209" s="5">
        <f>IF(ISBLANK('Raw Data'!N209),AVERAGEIFS('Raw Data'!$N$2:$N$433,'Raw Data'!$G$2:$G$433,G209),'Raw Data'!N209)</f>
        <v>39000</v>
      </c>
      <c r="Q209" s="5">
        <f t="shared" si="16"/>
        <v>78000</v>
      </c>
      <c r="R209" s="5">
        <f t="shared" si="17"/>
        <v>20600</v>
      </c>
      <c r="S209" s="3" t="str">
        <f>'Raw Data'!O209</f>
        <v>No</v>
      </c>
      <c r="T209" s="3" t="str">
        <f>'Raw Data'!P209</f>
        <v>Kemi</v>
      </c>
      <c r="U209" s="3" t="str">
        <f t="shared" si="18"/>
        <v>March</v>
      </c>
      <c r="V209" s="11">
        <f t="shared" si="19"/>
        <v>0</v>
      </c>
    </row>
    <row r="210" spans="1:22" x14ac:dyDescent="0.25">
      <c r="A210" s="3">
        <f>'Raw Data'!A210</f>
        <v>100209</v>
      </c>
      <c r="B210" s="4">
        <f>'Raw Data'!B210</f>
        <v>46207</v>
      </c>
      <c r="C210" s="3" t="str">
        <f>'Raw Data'!C210</f>
        <v>KN-01</v>
      </c>
      <c r="D210" s="3" t="str">
        <f>PROPER(TRIM('Raw Data'!D210))</f>
        <v>Kano</v>
      </c>
      <c r="E210" s="3" t="str">
        <f>'Raw Data'!E210</f>
        <v>In-store</v>
      </c>
      <c r="F210" s="3" t="str">
        <f>IF(PROPER(TRIM('Raw Data'!F210))="Accessory","Accessories",PROPER(TRIM('Raw Data'!F210)))</f>
        <v>Electronics</v>
      </c>
      <c r="G210" s="3" t="str">
        <f>'Raw Data'!G210</f>
        <v>Power Bank</v>
      </c>
      <c r="H210" s="3" t="str">
        <f>'Raw Data'!H210</f>
        <v>C1145</v>
      </c>
      <c r="I210" s="3" t="str">
        <f>'Raw Data'!I210</f>
        <v>Returning</v>
      </c>
      <c r="J210" s="3">
        <f>'Raw Data'!J210</f>
        <v>3</v>
      </c>
      <c r="K210" s="5">
        <f>'Raw Data'!K210</f>
        <v>26000</v>
      </c>
      <c r="L210" s="6">
        <f>'Raw Data'!L210</f>
        <v>0</v>
      </c>
      <c r="M210" s="5">
        <f>'Raw Data'!M210</f>
        <v>78000</v>
      </c>
      <c r="N210" s="5">
        <f t="shared" si="15"/>
        <v>78000</v>
      </c>
      <c r="O210" s="5">
        <f>'Raw Data'!N210</f>
        <v>15000</v>
      </c>
      <c r="P210" s="5">
        <f>IF(ISBLANK('Raw Data'!N210),AVERAGEIFS('Raw Data'!$N$2:$N$433,'Raw Data'!$G$2:$G$433,G210),'Raw Data'!N210)</f>
        <v>15000</v>
      </c>
      <c r="Q210" s="5">
        <f t="shared" si="16"/>
        <v>45000</v>
      </c>
      <c r="R210" s="5">
        <f t="shared" si="17"/>
        <v>33000</v>
      </c>
      <c r="S210" s="3" t="str">
        <f>'Raw Data'!O210</f>
        <v>No</v>
      </c>
      <c r="T210" s="3" t="str">
        <f>'Raw Data'!P210</f>
        <v>Kemi</v>
      </c>
      <c r="U210" s="3" t="str">
        <f t="shared" si="18"/>
        <v>July</v>
      </c>
      <c r="V210" s="11">
        <f t="shared" si="19"/>
        <v>0</v>
      </c>
    </row>
    <row r="211" spans="1:22" x14ac:dyDescent="0.25">
      <c r="A211" s="3">
        <f>'Raw Data'!A211</f>
        <v>100210</v>
      </c>
      <c r="B211" s="4">
        <f>'Raw Data'!B211</f>
        <v>46239</v>
      </c>
      <c r="C211" s="3" t="str">
        <f>'Raw Data'!C211</f>
        <v>PH-01</v>
      </c>
      <c r="D211" s="3" t="str">
        <f>PROPER(TRIM('Raw Data'!D211))</f>
        <v>Port Harcourt</v>
      </c>
      <c r="E211" s="3" t="str">
        <f>'Raw Data'!E211</f>
        <v>In-store</v>
      </c>
      <c r="F211" s="3" t="str">
        <f>IF(PROPER(TRIM('Raw Data'!F211))="Accessory","Accessories",PROPER(TRIM('Raw Data'!F211)))</f>
        <v>Electronics</v>
      </c>
      <c r="G211" s="3" t="str">
        <f>'Raw Data'!G211</f>
        <v>Earbuds</v>
      </c>
      <c r="H211" s="3" t="str">
        <f>'Raw Data'!H211</f>
        <v>C1119</v>
      </c>
      <c r="I211" s="3" t="str">
        <f>'Raw Data'!I211</f>
        <v>Returning</v>
      </c>
      <c r="J211" s="3">
        <f>'Raw Data'!J211</f>
        <v>1</v>
      </c>
      <c r="K211" s="5">
        <f>'Raw Data'!K211</f>
        <v>32000</v>
      </c>
      <c r="L211" s="6">
        <f>'Raw Data'!L211</f>
        <v>0</v>
      </c>
      <c r="M211" s="5">
        <f>'Raw Data'!M211</f>
        <v>32000</v>
      </c>
      <c r="N211" s="5">
        <f t="shared" si="15"/>
        <v>32000</v>
      </c>
      <c r="O211" s="5">
        <f>'Raw Data'!N211</f>
        <v>19000</v>
      </c>
      <c r="P211" s="5">
        <f>IF(ISBLANK('Raw Data'!N211),AVERAGEIFS('Raw Data'!$N$2:$N$433,'Raw Data'!$G$2:$G$433,G211),'Raw Data'!N211)</f>
        <v>19000</v>
      </c>
      <c r="Q211" s="5">
        <f t="shared" si="16"/>
        <v>19000</v>
      </c>
      <c r="R211" s="5">
        <f t="shared" si="17"/>
        <v>13000</v>
      </c>
      <c r="S211" s="3" t="str">
        <f>'Raw Data'!O211</f>
        <v>No</v>
      </c>
      <c r="T211" s="3" t="str">
        <f>'Raw Data'!P211</f>
        <v>Grace</v>
      </c>
      <c r="U211" s="3" t="str">
        <f t="shared" si="18"/>
        <v>August</v>
      </c>
      <c r="V211" s="11">
        <f t="shared" si="19"/>
        <v>0</v>
      </c>
    </row>
    <row r="212" spans="1:22" x14ac:dyDescent="0.25">
      <c r="A212" s="3">
        <f>'Raw Data'!A212</f>
        <v>100211</v>
      </c>
      <c r="B212" s="4">
        <f>'Raw Data'!B212</f>
        <v>46260</v>
      </c>
      <c r="C212" s="3" t="str">
        <f>'Raw Data'!C212</f>
        <v>KN-01</v>
      </c>
      <c r="D212" s="3" t="str">
        <f>PROPER(TRIM('Raw Data'!D212))</f>
        <v>Kano</v>
      </c>
      <c r="E212" s="3" t="str">
        <f>'Raw Data'!E212</f>
        <v>In-store</v>
      </c>
      <c r="F212" s="3" t="str">
        <f>IF(PROPER(TRIM('Raw Data'!F212))="Accessory","Accessories",PROPER(TRIM('Raw Data'!F212)))</f>
        <v>Home</v>
      </c>
      <c r="G212" s="3" t="str">
        <f>'Raw Data'!G212</f>
        <v>Blender</v>
      </c>
      <c r="H212" s="3" t="str">
        <f>'Raw Data'!H212</f>
        <v>C1081</v>
      </c>
      <c r="I212" s="3" t="str">
        <f>'Raw Data'!I212</f>
        <v>Returning</v>
      </c>
      <c r="J212" s="3">
        <f>'Raw Data'!J212</f>
        <v>4</v>
      </c>
      <c r="K212" s="5">
        <f>'Raw Data'!K212</f>
        <v>42000</v>
      </c>
      <c r="L212" s="6">
        <f>'Raw Data'!L212</f>
        <v>0</v>
      </c>
      <c r="M212" s="5">
        <f>'Raw Data'!M212</f>
        <v>168000</v>
      </c>
      <c r="N212" s="5">
        <f t="shared" si="15"/>
        <v>168000</v>
      </c>
      <c r="O212" s="5">
        <f>'Raw Data'!N212</f>
        <v>28000</v>
      </c>
      <c r="P212" s="5">
        <f>IF(ISBLANK('Raw Data'!N212),AVERAGEIFS('Raw Data'!$N$2:$N$433,'Raw Data'!$G$2:$G$433,G212),'Raw Data'!N212)</f>
        <v>28000</v>
      </c>
      <c r="Q212" s="5">
        <f t="shared" si="16"/>
        <v>112000</v>
      </c>
      <c r="R212" s="5">
        <f t="shared" si="17"/>
        <v>56000</v>
      </c>
      <c r="S212" s="3" t="str">
        <f>'Raw Data'!O212</f>
        <v>No</v>
      </c>
      <c r="T212" s="3" t="str">
        <f>'Raw Data'!P212</f>
        <v>Fatima</v>
      </c>
      <c r="U212" s="3" t="str">
        <f t="shared" si="18"/>
        <v>August</v>
      </c>
      <c r="V212" s="11">
        <f t="shared" si="19"/>
        <v>0</v>
      </c>
    </row>
    <row r="213" spans="1:22" x14ac:dyDescent="0.25">
      <c r="A213" s="3">
        <f>'Raw Data'!A213</f>
        <v>100212</v>
      </c>
      <c r="B213" s="4">
        <f>'Raw Data'!B213</f>
        <v>46117</v>
      </c>
      <c r="C213" s="3" t="str">
        <f>'Raw Data'!C213</f>
        <v>IB-01</v>
      </c>
      <c r="D213" s="3" t="str">
        <f>PROPER(TRIM('Raw Data'!D213))</f>
        <v>Ibadan</v>
      </c>
      <c r="E213" s="3" t="str">
        <f>'Raw Data'!E213</f>
        <v>Online</v>
      </c>
      <c r="F213" s="3" t="str">
        <f>IF(PROPER(TRIM('Raw Data'!F213))="Accessory","Accessories",PROPER(TRIM('Raw Data'!F213)))</f>
        <v>Home</v>
      </c>
      <c r="G213" s="3" t="str">
        <f>'Raw Data'!G213</f>
        <v>Electric Kettle</v>
      </c>
      <c r="H213" s="3" t="str">
        <f>'Raw Data'!H213</f>
        <v>C1156</v>
      </c>
      <c r="I213" s="3" t="str">
        <f>'Raw Data'!I213</f>
        <v>Returning</v>
      </c>
      <c r="J213" s="3">
        <f>'Raw Data'!J213</f>
        <v>2</v>
      </c>
      <c r="K213" s="5">
        <f>'Raw Data'!K213</f>
        <v>24000</v>
      </c>
      <c r="L213" s="6">
        <f>'Raw Data'!L213</f>
        <v>0.15</v>
      </c>
      <c r="M213" s="5">
        <f>'Raw Data'!M213</f>
        <v>40800</v>
      </c>
      <c r="N213" s="5">
        <f t="shared" si="15"/>
        <v>40800</v>
      </c>
      <c r="O213" s="5">
        <f>'Raw Data'!N213</f>
        <v>15000</v>
      </c>
      <c r="P213" s="5">
        <f>IF(ISBLANK('Raw Data'!N213),AVERAGEIFS('Raw Data'!$N$2:$N$433,'Raw Data'!$G$2:$G$433,G213),'Raw Data'!N213)</f>
        <v>15000</v>
      </c>
      <c r="Q213" s="5">
        <f t="shared" si="16"/>
        <v>30000</v>
      </c>
      <c r="R213" s="5">
        <f t="shared" si="17"/>
        <v>10800</v>
      </c>
      <c r="S213" s="3" t="str">
        <f>'Raw Data'!O213</f>
        <v>No</v>
      </c>
      <c r="T213" s="3" t="str">
        <f>'Raw Data'!P213</f>
        <v>Ibrahim</v>
      </c>
      <c r="U213" s="3" t="str">
        <f t="shared" si="18"/>
        <v>April</v>
      </c>
      <c r="V213" s="11">
        <f t="shared" si="19"/>
        <v>0</v>
      </c>
    </row>
    <row r="214" spans="1:22" x14ac:dyDescent="0.25">
      <c r="A214" s="3">
        <f>'Raw Data'!A214</f>
        <v>100213</v>
      </c>
      <c r="B214" s="4">
        <f>'Raw Data'!B214</f>
        <v>46023</v>
      </c>
      <c r="C214" s="3" t="str">
        <f>'Raw Data'!C214</f>
        <v>AB-02</v>
      </c>
      <c r="D214" s="3" t="str">
        <f>PROPER(TRIM('Raw Data'!D214))</f>
        <v>Abuja</v>
      </c>
      <c r="E214" s="3" t="str">
        <f>'Raw Data'!E214</f>
        <v>In-store</v>
      </c>
      <c r="F214" s="3" t="str">
        <f>IF(PROPER(TRIM('Raw Data'!F214))="Accessory","Accessories",PROPER(TRIM('Raw Data'!F214)))</f>
        <v>Electronics</v>
      </c>
      <c r="G214" s="3" t="str">
        <f>'Raw Data'!G214</f>
        <v>Smartphone</v>
      </c>
      <c r="H214" s="3" t="str">
        <f>'Raw Data'!H214</f>
        <v>C1085</v>
      </c>
      <c r="I214" s="3" t="str">
        <f>'Raw Data'!I214</f>
        <v>New</v>
      </c>
      <c r="J214" s="3">
        <f>'Raw Data'!J214</f>
        <v>2</v>
      </c>
      <c r="K214" s="5">
        <f>'Raw Data'!K214</f>
        <v>165000</v>
      </c>
      <c r="L214" s="6">
        <f>'Raw Data'!L214</f>
        <v>0.15</v>
      </c>
      <c r="M214" s="5">
        <f>'Raw Data'!M214</f>
        <v>280500</v>
      </c>
      <c r="N214" s="5">
        <f t="shared" si="15"/>
        <v>280500</v>
      </c>
      <c r="O214" s="3">
        <f>'Raw Data'!N214</f>
        <v>0</v>
      </c>
      <c r="P214" s="5">
        <f>IF(ISBLANK('Raw Data'!N214),AVERAGEIFS('Raw Data'!$N$2:$N$433,'Raw Data'!$G$2:$G$433,G214),'Raw Data'!N214)</f>
        <v>112000</v>
      </c>
      <c r="Q214" s="5">
        <f t="shared" si="16"/>
        <v>224000</v>
      </c>
      <c r="R214" s="5">
        <f t="shared" si="17"/>
        <v>56500</v>
      </c>
      <c r="S214" s="3" t="str">
        <f>'Raw Data'!O214</f>
        <v>No</v>
      </c>
      <c r="T214" s="3" t="str">
        <f>'Raw Data'!P214</f>
        <v>Fatima</v>
      </c>
      <c r="U214" s="3" t="str">
        <f t="shared" si="18"/>
        <v>January</v>
      </c>
      <c r="V214" s="11">
        <f t="shared" si="19"/>
        <v>0</v>
      </c>
    </row>
    <row r="215" spans="1:22" x14ac:dyDescent="0.25">
      <c r="A215" s="3">
        <f>'Raw Data'!A215</f>
        <v>100214</v>
      </c>
      <c r="B215" s="4">
        <f>'Raw Data'!B215</f>
        <v>46086</v>
      </c>
      <c r="C215" s="3" t="str">
        <f>'Raw Data'!C215</f>
        <v>LG-01</v>
      </c>
      <c r="D215" s="3" t="str">
        <f>PROPER(TRIM('Raw Data'!D215))</f>
        <v>Lagos</v>
      </c>
      <c r="E215" s="3" t="str">
        <f>'Raw Data'!E215</f>
        <v>In-store</v>
      </c>
      <c r="F215" s="3" t="str">
        <f>IF(PROPER(TRIM('Raw Data'!F215))="Accessory","Accessories",PROPER(TRIM('Raw Data'!F215)))</f>
        <v>Accessories</v>
      </c>
      <c r="G215" s="3" t="str">
        <f>'Raw Data'!G215</f>
        <v>USB Cable</v>
      </c>
      <c r="H215" s="3" t="str">
        <f>'Raw Data'!H215</f>
        <v>C1165</v>
      </c>
      <c r="I215" s="3" t="str">
        <f>'Raw Data'!I215</f>
        <v>New</v>
      </c>
      <c r="J215" s="3">
        <f>'Raw Data'!J215</f>
        <v>2</v>
      </c>
      <c r="K215" s="5">
        <f>'Raw Data'!K215</f>
        <v>6500</v>
      </c>
      <c r="L215" s="6">
        <f>'Raw Data'!L215</f>
        <v>0.05</v>
      </c>
      <c r="M215" s="5">
        <f>'Raw Data'!M215</f>
        <v>12350</v>
      </c>
      <c r="N215" s="5">
        <f t="shared" si="15"/>
        <v>12350</v>
      </c>
      <c r="O215" s="5">
        <f>'Raw Data'!N215</f>
        <v>2200</v>
      </c>
      <c r="P215" s="5">
        <f>IF(ISBLANK('Raw Data'!N215),AVERAGEIFS('Raw Data'!$N$2:$N$433,'Raw Data'!$G$2:$G$433,G215),'Raw Data'!N215)</f>
        <v>2200</v>
      </c>
      <c r="Q215" s="5">
        <f t="shared" si="16"/>
        <v>4400</v>
      </c>
      <c r="R215" s="5">
        <f t="shared" si="17"/>
        <v>7950</v>
      </c>
      <c r="S215" s="3" t="str">
        <f>'Raw Data'!O215</f>
        <v>No</v>
      </c>
      <c r="T215" s="3" t="str">
        <f>'Raw Data'!P215</f>
        <v>Grace</v>
      </c>
      <c r="U215" s="3" t="str">
        <f t="shared" si="18"/>
        <v>March</v>
      </c>
      <c r="V215" s="11">
        <f t="shared" si="19"/>
        <v>0</v>
      </c>
    </row>
    <row r="216" spans="1:22" x14ac:dyDescent="0.25">
      <c r="A216" s="3">
        <f>'Raw Data'!A216</f>
        <v>100215</v>
      </c>
      <c r="B216" s="4">
        <f>'Raw Data'!B216</f>
        <v>46128</v>
      </c>
      <c r="C216" s="3" t="str">
        <f>'Raw Data'!C216</f>
        <v>KN-01</v>
      </c>
      <c r="D216" s="3" t="str">
        <f>PROPER(TRIM('Raw Data'!D216))</f>
        <v>Kano</v>
      </c>
      <c r="E216" s="3" t="str">
        <f>'Raw Data'!E216</f>
        <v>In-store</v>
      </c>
      <c r="F216" s="3" t="str">
        <f>IF(PROPER(TRIM('Raw Data'!F216))="Accessory","Accessories",PROPER(TRIM('Raw Data'!F216)))</f>
        <v>Electronics</v>
      </c>
      <c r="G216" s="3" t="str">
        <f>'Raw Data'!G216</f>
        <v>Power Bank</v>
      </c>
      <c r="H216" s="3" t="str">
        <f>'Raw Data'!H216</f>
        <v>C1024</v>
      </c>
      <c r="I216" s="3" t="str">
        <f>'Raw Data'!I216</f>
        <v>New</v>
      </c>
      <c r="J216" s="3">
        <f>'Raw Data'!J216</f>
        <v>3</v>
      </c>
      <c r="K216" s="5">
        <f>'Raw Data'!K216</f>
        <v>26000</v>
      </c>
      <c r="L216" s="6">
        <f>'Raw Data'!L216</f>
        <v>0</v>
      </c>
      <c r="M216" s="5">
        <f>'Raw Data'!M216</f>
        <v>78000</v>
      </c>
      <c r="N216" s="5">
        <f t="shared" si="15"/>
        <v>78000</v>
      </c>
      <c r="O216" s="5">
        <f>'Raw Data'!N216</f>
        <v>15000</v>
      </c>
      <c r="P216" s="5">
        <f>IF(ISBLANK('Raw Data'!N216),AVERAGEIFS('Raw Data'!$N$2:$N$433,'Raw Data'!$G$2:$G$433,G216),'Raw Data'!N216)</f>
        <v>15000</v>
      </c>
      <c r="Q216" s="5">
        <f t="shared" si="16"/>
        <v>45000</v>
      </c>
      <c r="R216" s="5">
        <f t="shared" si="17"/>
        <v>33000</v>
      </c>
      <c r="S216" s="3" t="str">
        <f>'Raw Data'!O216</f>
        <v>No</v>
      </c>
      <c r="T216" s="3" t="str">
        <f>'Raw Data'!P216</f>
        <v>Grace</v>
      </c>
      <c r="U216" s="3" t="str">
        <f t="shared" si="18"/>
        <v>April</v>
      </c>
      <c r="V216" s="11">
        <f t="shared" si="19"/>
        <v>0</v>
      </c>
    </row>
    <row r="217" spans="1:22" x14ac:dyDescent="0.25">
      <c r="A217" s="3">
        <f>'Raw Data'!A217</f>
        <v>100216</v>
      </c>
      <c r="B217" s="4">
        <f>'Raw Data'!B217</f>
        <v>46161</v>
      </c>
      <c r="C217" s="3" t="str">
        <f>'Raw Data'!C217</f>
        <v>LG-01</v>
      </c>
      <c r="D217" s="3" t="str">
        <f>PROPER(TRIM('Raw Data'!D217))</f>
        <v>Lagos</v>
      </c>
      <c r="E217" s="3" t="str">
        <f>'Raw Data'!E217</f>
        <v>Online</v>
      </c>
      <c r="F217" s="3" t="str">
        <f>IF(PROPER(TRIM('Raw Data'!F217))="Accessory","Accessories",PROPER(TRIM('Raw Data'!F217)))</f>
        <v>Accessories</v>
      </c>
      <c r="G217" s="3" t="str">
        <f>'Raw Data'!G217</f>
        <v>USB Cable</v>
      </c>
      <c r="H217" s="3" t="str">
        <f>'Raw Data'!H217</f>
        <v>C1076</v>
      </c>
      <c r="I217" s="3" t="str">
        <f>'Raw Data'!I217</f>
        <v>New</v>
      </c>
      <c r="J217" s="3">
        <f>'Raw Data'!J217</f>
        <v>4</v>
      </c>
      <c r="K217" s="5">
        <f>'Raw Data'!K217</f>
        <v>6500</v>
      </c>
      <c r="L217" s="6">
        <f>'Raw Data'!L217</f>
        <v>0</v>
      </c>
      <c r="M217" s="5">
        <f>'Raw Data'!M217</f>
        <v>26000</v>
      </c>
      <c r="N217" s="5">
        <f t="shared" si="15"/>
        <v>26000</v>
      </c>
      <c r="O217" s="5">
        <f>'Raw Data'!N217</f>
        <v>2200</v>
      </c>
      <c r="P217" s="5">
        <f>IF(ISBLANK('Raw Data'!N217),AVERAGEIFS('Raw Data'!$N$2:$N$433,'Raw Data'!$G$2:$G$433,G217),'Raw Data'!N217)</f>
        <v>2200</v>
      </c>
      <c r="Q217" s="5">
        <f t="shared" si="16"/>
        <v>8800</v>
      </c>
      <c r="R217" s="5">
        <f t="shared" si="17"/>
        <v>17200</v>
      </c>
      <c r="S217" s="3" t="str">
        <f>'Raw Data'!O217</f>
        <v>No</v>
      </c>
      <c r="T217" s="3" t="str">
        <f>'Raw Data'!P217</f>
        <v>Chinedu</v>
      </c>
      <c r="U217" s="3" t="str">
        <f t="shared" si="18"/>
        <v>May</v>
      </c>
      <c r="V217" s="11">
        <f t="shared" si="19"/>
        <v>0</v>
      </c>
    </row>
    <row r="218" spans="1:22" x14ac:dyDescent="0.25">
      <c r="A218" s="3">
        <f>'Raw Data'!A218</f>
        <v>100217</v>
      </c>
      <c r="B218" s="4">
        <f>'Raw Data'!B218</f>
        <v>46198</v>
      </c>
      <c r="C218" s="3" t="str">
        <f>'Raw Data'!C218</f>
        <v>LG-02</v>
      </c>
      <c r="D218" s="3" t="str">
        <f>PROPER(TRIM('Raw Data'!D218))</f>
        <v>Lagos</v>
      </c>
      <c r="E218" s="3" t="str">
        <f>'Raw Data'!E218</f>
        <v>Online</v>
      </c>
      <c r="F218" s="3" t="str">
        <f>IF(PROPER(TRIM('Raw Data'!F218))="Accessory","Accessories",PROPER(TRIM('Raw Data'!F218)))</f>
        <v>Home</v>
      </c>
      <c r="G218" s="3" t="str">
        <f>'Raw Data'!G218</f>
        <v>Electric Kettle</v>
      </c>
      <c r="H218" s="3" t="str">
        <f>'Raw Data'!H218</f>
        <v>C1144</v>
      </c>
      <c r="I218" s="3" t="str">
        <f>'Raw Data'!I218</f>
        <v>Returning</v>
      </c>
      <c r="J218" s="3">
        <f>'Raw Data'!J218</f>
        <v>2</v>
      </c>
      <c r="K218" s="5">
        <f>'Raw Data'!K218</f>
        <v>24000</v>
      </c>
      <c r="L218" s="6">
        <f>'Raw Data'!L218</f>
        <v>0.05</v>
      </c>
      <c r="M218" s="5">
        <f>'Raw Data'!M218</f>
        <v>45600</v>
      </c>
      <c r="N218" s="5">
        <f t="shared" si="15"/>
        <v>45600</v>
      </c>
      <c r="O218" s="5">
        <f>'Raw Data'!N218</f>
        <v>15000</v>
      </c>
      <c r="P218" s="5">
        <f>IF(ISBLANK('Raw Data'!N218),AVERAGEIFS('Raw Data'!$N$2:$N$433,'Raw Data'!$G$2:$G$433,G218),'Raw Data'!N218)</f>
        <v>15000</v>
      </c>
      <c r="Q218" s="5">
        <f t="shared" si="16"/>
        <v>30000</v>
      </c>
      <c r="R218" s="5">
        <f t="shared" si="17"/>
        <v>15600</v>
      </c>
      <c r="S218" s="3" t="str">
        <f>'Raw Data'!O218</f>
        <v>No</v>
      </c>
      <c r="T218" s="3" t="str">
        <f>'Raw Data'!P218</f>
        <v>Fatima</v>
      </c>
      <c r="U218" s="3" t="str">
        <f t="shared" si="18"/>
        <v>June</v>
      </c>
      <c r="V218" s="11">
        <f t="shared" si="19"/>
        <v>0</v>
      </c>
    </row>
    <row r="219" spans="1:22" x14ac:dyDescent="0.25">
      <c r="A219" s="3">
        <f>'Raw Data'!A219</f>
        <v>100218</v>
      </c>
      <c r="B219" s="4">
        <f>'Raw Data'!B219</f>
        <v>46120</v>
      </c>
      <c r="C219" s="3" t="str">
        <f>'Raw Data'!C219</f>
        <v>LG-02</v>
      </c>
      <c r="D219" s="3" t="str">
        <f>PROPER(TRIM('Raw Data'!D219))</f>
        <v>Lagos</v>
      </c>
      <c r="E219" s="3" t="str">
        <f>'Raw Data'!E219</f>
        <v>WhatsApp</v>
      </c>
      <c r="F219" s="3" t="str">
        <f>IF(PROPER(TRIM('Raw Data'!F219))="Accessory","Accessories",PROPER(TRIM('Raw Data'!F219)))</f>
        <v>Home</v>
      </c>
      <c r="G219" s="3" t="str">
        <f>'Raw Data'!G219</f>
        <v>Standing Fan</v>
      </c>
      <c r="H219" s="3" t="str">
        <f>'Raw Data'!H219</f>
        <v>C1098</v>
      </c>
      <c r="I219" s="3" t="str">
        <f>'Raw Data'!I219</f>
        <v>New</v>
      </c>
      <c r="J219" s="3">
        <f>'Raw Data'!J219</f>
        <v>3</v>
      </c>
      <c r="K219" s="5">
        <f>'Raw Data'!K219</f>
        <v>58000</v>
      </c>
      <c r="L219" s="6">
        <f>'Raw Data'!L219</f>
        <v>0.05</v>
      </c>
      <c r="M219" s="5">
        <f>'Raw Data'!M219</f>
        <v>165300</v>
      </c>
      <c r="N219" s="5">
        <f t="shared" si="15"/>
        <v>165300</v>
      </c>
      <c r="O219" s="5">
        <f>'Raw Data'!N219</f>
        <v>39000</v>
      </c>
      <c r="P219" s="5">
        <f>IF(ISBLANK('Raw Data'!N219),AVERAGEIFS('Raw Data'!$N$2:$N$433,'Raw Data'!$G$2:$G$433,G219),'Raw Data'!N219)</f>
        <v>39000</v>
      </c>
      <c r="Q219" s="5">
        <f t="shared" si="16"/>
        <v>117000</v>
      </c>
      <c r="R219" s="5">
        <f t="shared" si="17"/>
        <v>48300</v>
      </c>
      <c r="S219" s="3" t="str">
        <f>'Raw Data'!O219</f>
        <v>No</v>
      </c>
      <c r="T219" s="3" t="str">
        <f>'Raw Data'!P219</f>
        <v>Fatima</v>
      </c>
      <c r="U219" s="3" t="str">
        <f t="shared" si="18"/>
        <v>April</v>
      </c>
      <c r="V219" s="11">
        <f t="shared" si="19"/>
        <v>0</v>
      </c>
    </row>
    <row r="220" spans="1:22" x14ac:dyDescent="0.25">
      <c r="A220" s="3">
        <f>'Raw Data'!A220</f>
        <v>100219</v>
      </c>
      <c r="B220" s="4">
        <f>'Raw Data'!B220</f>
        <v>46253</v>
      </c>
      <c r="C220" s="3" t="str">
        <f>'Raw Data'!C220</f>
        <v>PH-01</v>
      </c>
      <c r="D220" s="3" t="str">
        <f>PROPER(TRIM('Raw Data'!D220))</f>
        <v>Port Harcourt</v>
      </c>
      <c r="E220" s="3" t="str">
        <f>'Raw Data'!E220</f>
        <v>In-store</v>
      </c>
      <c r="F220" s="3" t="str">
        <f>IF(PROPER(TRIM('Raw Data'!F220))="Accessory","Accessories",PROPER(TRIM('Raw Data'!F220)))</f>
        <v>Home</v>
      </c>
      <c r="G220" s="3" t="str">
        <f>'Raw Data'!G220</f>
        <v>Standing Fan</v>
      </c>
      <c r="H220" s="3" t="str">
        <f>'Raw Data'!H220</f>
        <v>C1107</v>
      </c>
      <c r="I220" s="3" t="str">
        <f>'Raw Data'!I220</f>
        <v>Returning</v>
      </c>
      <c r="J220" s="3">
        <f>'Raw Data'!J220</f>
        <v>5</v>
      </c>
      <c r="K220" s="5">
        <f>'Raw Data'!K220</f>
        <v>58000</v>
      </c>
      <c r="L220" s="6">
        <f>'Raw Data'!L220</f>
        <v>0.15</v>
      </c>
      <c r="M220" s="5">
        <f>'Raw Data'!M220</f>
        <v>246500</v>
      </c>
      <c r="N220" s="5">
        <f t="shared" si="15"/>
        <v>246500</v>
      </c>
      <c r="O220" s="5">
        <f>'Raw Data'!N220</f>
        <v>39000</v>
      </c>
      <c r="P220" s="5">
        <f>IF(ISBLANK('Raw Data'!N220),AVERAGEIFS('Raw Data'!$N$2:$N$433,'Raw Data'!$G$2:$G$433,G220),'Raw Data'!N220)</f>
        <v>39000</v>
      </c>
      <c r="Q220" s="5">
        <f t="shared" si="16"/>
        <v>195000</v>
      </c>
      <c r="R220" s="5">
        <f t="shared" si="17"/>
        <v>51500</v>
      </c>
      <c r="S220" s="3" t="str">
        <f>'Raw Data'!O220</f>
        <v>No</v>
      </c>
      <c r="T220" s="3" t="str">
        <f>'Raw Data'!P220</f>
        <v>Grace</v>
      </c>
      <c r="U220" s="3" t="str">
        <f t="shared" si="18"/>
        <v>August</v>
      </c>
      <c r="V220" s="11">
        <f t="shared" si="19"/>
        <v>0</v>
      </c>
    </row>
    <row r="221" spans="1:22" x14ac:dyDescent="0.25">
      <c r="A221" s="3">
        <f>'Raw Data'!A221</f>
        <v>100220</v>
      </c>
      <c r="B221" s="4">
        <f>'Raw Data'!B221</f>
        <v>46024</v>
      </c>
      <c r="C221" s="3" t="str">
        <f>'Raw Data'!C221</f>
        <v>KN-01</v>
      </c>
      <c r="D221" s="3" t="str">
        <f>PROPER(TRIM('Raw Data'!D221))</f>
        <v>Kano</v>
      </c>
      <c r="E221" s="3" t="str">
        <f>'Raw Data'!E221</f>
        <v>WhatsApp</v>
      </c>
      <c r="F221" s="3" t="str">
        <f>IF(PROPER(TRIM('Raw Data'!F221))="Accessory","Accessories",PROPER(TRIM('Raw Data'!F221)))</f>
        <v>Electronics</v>
      </c>
      <c r="G221" s="3" t="str">
        <f>'Raw Data'!G221</f>
        <v>Power Bank</v>
      </c>
      <c r="H221" s="3" t="str">
        <f>'Raw Data'!H221</f>
        <v>C1104</v>
      </c>
      <c r="I221" s="3" t="str">
        <f>'Raw Data'!I221</f>
        <v>Returning</v>
      </c>
      <c r="J221" s="3">
        <f>'Raw Data'!J221</f>
        <v>2</v>
      </c>
      <c r="K221" s="5">
        <f>'Raw Data'!K221</f>
        <v>26000</v>
      </c>
      <c r="L221" s="6">
        <f>'Raw Data'!L221</f>
        <v>0</v>
      </c>
      <c r="M221" s="5">
        <f>'Raw Data'!M221</f>
        <v>52000</v>
      </c>
      <c r="N221" s="5">
        <f t="shared" si="15"/>
        <v>52000</v>
      </c>
      <c r="O221" s="5">
        <f>'Raw Data'!N221</f>
        <v>15000</v>
      </c>
      <c r="P221" s="5">
        <f>IF(ISBLANK('Raw Data'!N221),AVERAGEIFS('Raw Data'!$N$2:$N$433,'Raw Data'!$G$2:$G$433,G221),'Raw Data'!N221)</f>
        <v>15000</v>
      </c>
      <c r="Q221" s="5">
        <f t="shared" si="16"/>
        <v>30000</v>
      </c>
      <c r="R221" s="5">
        <f t="shared" si="17"/>
        <v>22000</v>
      </c>
      <c r="S221" s="3" t="str">
        <f>'Raw Data'!O221</f>
        <v>No</v>
      </c>
      <c r="T221" s="3" t="str">
        <f>'Raw Data'!P221</f>
        <v>Chinedu</v>
      </c>
      <c r="U221" s="3" t="str">
        <f t="shared" si="18"/>
        <v>January</v>
      </c>
      <c r="V221" s="11">
        <f t="shared" si="19"/>
        <v>0</v>
      </c>
    </row>
    <row r="222" spans="1:22" x14ac:dyDescent="0.25">
      <c r="A222" s="3">
        <f>'Raw Data'!A222</f>
        <v>100221</v>
      </c>
      <c r="B222" s="4">
        <f>'Raw Data'!B222</f>
        <v>46111</v>
      </c>
      <c r="C222" s="3" t="str">
        <f>'Raw Data'!C222</f>
        <v>IB-01</v>
      </c>
      <c r="D222" s="3" t="str">
        <f>PROPER(TRIM('Raw Data'!D222))</f>
        <v>Ibadan</v>
      </c>
      <c r="E222" s="3" t="str">
        <f>'Raw Data'!E222</f>
        <v>In-store</v>
      </c>
      <c r="F222" s="3" t="str">
        <f>IF(PROPER(TRIM('Raw Data'!F222))="Accessory","Accessories",PROPER(TRIM('Raw Data'!F222)))</f>
        <v>Accessories</v>
      </c>
      <c r="G222" s="3" t="str">
        <f>'Raw Data'!G222</f>
        <v>Backpack</v>
      </c>
      <c r="H222" s="3" t="str">
        <f>'Raw Data'!H222</f>
        <v>C1003</v>
      </c>
      <c r="I222" s="3" t="str">
        <f>'Raw Data'!I222</f>
        <v>Returning</v>
      </c>
      <c r="J222" s="3">
        <f>'Raw Data'!J222</f>
        <v>3</v>
      </c>
      <c r="K222" s="5">
        <f>'Raw Data'!K222</f>
        <v>28000</v>
      </c>
      <c r="L222" s="6">
        <f>'Raw Data'!L222</f>
        <v>0.1</v>
      </c>
      <c r="M222" s="5">
        <f>'Raw Data'!M222</f>
        <v>75600</v>
      </c>
      <c r="N222" s="5">
        <f t="shared" si="15"/>
        <v>75600</v>
      </c>
      <c r="O222" s="5">
        <f>'Raw Data'!N222</f>
        <v>16000</v>
      </c>
      <c r="P222" s="5">
        <f>IF(ISBLANK('Raw Data'!N222),AVERAGEIFS('Raw Data'!$N$2:$N$433,'Raw Data'!$G$2:$G$433,G222),'Raw Data'!N222)</f>
        <v>16000</v>
      </c>
      <c r="Q222" s="5">
        <f t="shared" si="16"/>
        <v>48000</v>
      </c>
      <c r="R222" s="5">
        <f t="shared" si="17"/>
        <v>27600</v>
      </c>
      <c r="S222" s="3" t="str">
        <f>'Raw Data'!O222</f>
        <v>No</v>
      </c>
      <c r="T222" s="3" t="str">
        <f>'Raw Data'!P222</f>
        <v>Fatima</v>
      </c>
      <c r="U222" s="3" t="str">
        <f t="shared" si="18"/>
        <v>March</v>
      </c>
      <c r="V222" s="11">
        <f t="shared" si="19"/>
        <v>0</v>
      </c>
    </row>
    <row r="223" spans="1:22" x14ac:dyDescent="0.25">
      <c r="A223" s="3">
        <f>'Raw Data'!A223</f>
        <v>100222</v>
      </c>
      <c r="B223" s="4">
        <f>'Raw Data'!B223</f>
        <v>46255</v>
      </c>
      <c r="C223" s="3" t="str">
        <f>'Raw Data'!C223</f>
        <v>AB-02</v>
      </c>
      <c r="D223" s="3" t="str">
        <f>PROPER(TRIM('Raw Data'!D223))</f>
        <v>Abuja</v>
      </c>
      <c r="E223" s="3" t="str">
        <f>'Raw Data'!E223</f>
        <v>WhatsApp</v>
      </c>
      <c r="F223" s="3" t="str">
        <f>IF(PROPER(TRIM('Raw Data'!F223))="Accessory","Accessories",PROPER(TRIM('Raw Data'!F223)))</f>
        <v>Home</v>
      </c>
      <c r="G223" s="3" t="str">
        <f>'Raw Data'!G223</f>
        <v>Standing Fan</v>
      </c>
      <c r="H223" s="3" t="str">
        <f>'Raw Data'!H223</f>
        <v>C1178</v>
      </c>
      <c r="I223" s="3" t="str">
        <f>'Raw Data'!I223</f>
        <v>New</v>
      </c>
      <c r="J223" s="3">
        <f>'Raw Data'!J223</f>
        <v>3</v>
      </c>
      <c r="K223" s="5">
        <f>'Raw Data'!K223</f>
        <v>58000</v>
      </c>
      <c r="L223" s="6">
        <f>'Raw Data'!L223</f>
        <v>0.25</v>
      </c>
      <c r="M223" s="5">
        <f>'Raw Data'!M223</f>
        <v>130500</v>
      </c>
      <c r="N223" s="5">
        <f t="shared" si="15"/>
        <v>130500</v>
      </c>
      <c r="O223" s="3">
        <f>'Raw Data'!N223</f>
        <v>0</v>
      </c>
      <c r="P223" s="5">
        <f>IF(ISBLANK('Raw Data'!N223),AVERAGEIFS('Raw Data'!$N$2:$N$433,'Raw Data'!$G$2:$G$433,G223),'Raw Data'!N223)</f>
        <v>39000</v>
      </c>
      <c r="Q223" s="5">
        <f t="shared" si="16"/>
        <v>117000</v>
      </c>
      <c r="R223" s="5">
        <f t="shared" si="17"/>
        <v>13500</v>
      </c>
      <c r="S223" s="3" t="str">
        <f>'Raw Data'!O223</f>
        <v>Yes</v>
      </c>
      <c r="T223" s="3" t="str">
        <f>'Raw Data'!P223</f>
        <v>Ibrahim</v>
      </c>
      <c r="U223" s="3" t="str">
        <f t="shared" si="18"/>
        <v>August</v>
      </c>
      <c r="V223" s="11">
        <f t="shared" si="19"/>
        <v>1</v>
      </c>
    </row>
    <row r="224" spans="1:22" x14ac:dyDescent="0.25">
      <c r="A224" s="3">
        <f>'Raw Data'!A224</f>
        <v>100223</v>
      </c>
      <c r="B224" s="4">
        <f>'Raw Data'!B224</f>
        <v>46165</v>
      </c>
      <c r="C224" s="3" t="str">
        <f>'Raw Data'!C224</f>
        <v>PH-01</v>
      </c>
      <c r="D224" s="3" t="str">
        <f>PROPER(TRIM('Raw Data'!D224))</f>
        <v>Port Harcourt</v>
      </c>
      <c r="E224" s="3" t="str">
        <f>'Raw Data'!E224</f>
        <v>WhatsApp</v>
      </c>
      <c r="F224" s="3" t="str">
        <f>IF(PROPER(TRIM('Raw Data'!F224))="Accessory","Accessories",PROPER(TRIM('Raw Data'!F224)))</f>
        <v>Home</v>
      </c>
      <c r="G224" s="3" t="str">
        <f>'Raw Data'!G224</f>
        <v>Blender</v>
      </c>
      <c r="H224" s="3" t="str">
        <f>'Raw Data'!H224</f>
        <v>C1033</v>
      </c>
      <c r="I224" s="3" t="str">
        <f>'Raw Data'!I224</f>
        <v>Returning</v>
      </c>
      <c r="J224" s="3">
        <f>'Raw Data'!J224</f>
        <v>3</v>
      </c>
      <c r="K224" s="5">
        <f>'Raw Data'!K224</f>
        <v>42000</v>
      </c>
      <c r="L224" s="6">
        <f>'Raw Data'!L224</f>
        <v>0.15</v>
      </c>
      <c r="M224" s="5">
        <f>'Raw Data'!M224</f>
        <v>107100</v>
      </c>
      <c r="N224" s="5">
        <f t="shared" si="15"/>
        <v>107100</v>
      </c>
      <c r="O224" s="5">
        <f>'Raw Data'!N224</f>
        <v>28000</v>
      </c>
      <c r="P224" s="5">
        <f>IF(ISBLANK('Raw Data'!N224),AVERAGEIFS('Raw Data'!$N$2:$N$433,'Raw Data'!$G$2:$G$433,G224),'Raw Data'!N224)</f>
        <v>28000</v>
      </c>
      <c r="Q224" s="5">
        <f t="shared" si="16"/>
        <v>84000</v>
      </c>
      <c r="R224" s="5">
        <f t="shared" si="17"/>
        <v>23100</v>
      </c>
      <c r="S224" s="3" t="str">
        <f>'Raw Data'!O224</f>
        <v>No</v>
      </c>
      <c r="T224" s="3" t="str">
        <f>'Raw Data'!P224</f>
        <v>David</v>
      </c>
      <c r="U224" s="3" t="str">
        <f t="shared" si="18"/>
        <v>May</v>
      </c>
      <c r="V224" s="11">
        <f t="shared" si="19"/>
        <v>0</v>
      </c>
    </row>
    <row r="225" spans="1:22" x14ac:dyDescent="0.25">
      <c r="A225" s="3">
        <f>'Raw Data'!A225</f>
        <v>100224</v>
      </c>
      <c r="B225" s="4">
        <f>'Raw Data'!B225</f>
        <v>46149</v>
      </c>
      <c r="C225" s="3" t="str">
        <f>'Raw Data'!C225</f>
        <v>LG-02</v>
      </c>
      <c r="D225" s="3" t="str">
        <f>PROPER(TRIM('Raw Data'!D225))</f>
        <v>Lagos</v>
      </c>
      <c r="E225" s="3" t="str">
        <f>'Raw Data'!E225</f>
        <v>Online</v>
      </c>
      <c r="F225" s="3" t="str">
        <f>IF(PROPER(TRIM('Raw Data'!F225))="Accessory","Accessories",PROPER(TRIM('Raw Data'!F225)))</f>
        <v>Electronics</v>
      </c>
      <c r="G225" s="3" t="str">
        <f>'Raw Data'!G225</f>
        <v>Earbuds</v>
      </c>
      <c r="H225" s="3" t="str">
        <f>'Raw Data'!H225</f>
        <v>C1013</v>
      </c>
      <c r="I225" s="3" t="str">
        <f>'Raw Data'!I225</f>
        <v>Returning</v>
      </c>
      <c r="J225" s="3">
        <f>'Raw Data'!J225</f>
        <v>1</v>
      </c>
      <c r="K225" s="5">
        <f>'Raw Data'!K225</f>
        <v>32000</v>
      </c>
      <c r="L225" s="6">
        <f>'Raw Data'!L225</f>
        <v>0.1</v>
      </c>
      <c r="M225" s="5">
        <f>'Raw Data'!M225</f>
        <v>28800</v>
      </c>
      <c r="N225" s="5">
        <f t="shared" si="15"/>
        <v>28800</v>
      </c>
      <c r="O225" s="5">
        <f>'Raw Data'!N225</f>
        <v>19000</v>
      </c>
      <c r="P225" s="5">
        <f>IF(ISBLANK('Raw Data'!N225),AVERAGEIFS('Raw Data'!$N$2:$N$433,'Raw Data'!$G$2:$G$433,G225),'Raw Data'!N225)</f>
        <v>19000</v>
      </c>
      <c r="Q225" s="5">
        <f t="shared" si="16"/>
        <v>19000</v>
      </c>
      <c r="R225" s="5">
        <f t="shared" si="17"/>
        <v>9800</v>
      </c>
      <c r="S225" s="3" t="str">
        <f>'Raw Data'!O225</f>
        <v>No</v>
      </c>
      <c r="T225" s="3" t="str">
        <f>'Raw Data'!P225</f>
        <v>Grace</v>
      </c>
      <c r="U225" s="3" t="str">
        <f t="shared" si="18"/>
        <v>May</v>
      </c>
      <c r="V225" s="11">
        <f t="shared" si="19"/>
        <v>0</v>
      </c>
    </row>
    <row r="226" spans="1:22" x14ac:dyDescent="0.25">
      <c r="A226" s="3">
        <f>'Raw Data'!A226</f>
        <v>100225</v>
      </c>
      <c r="B226" s="4">
        <f>'Raw Data'!B226</f>
        <v>46079</v>
      </c>
      <c r="C226" s="3" t="str">
        <f>'Raw Data'!C226</f>
        <v>KN-01</v>
      </c>
      <c r="D226" s="3" t="str">
        <f>PROPER(TRIM('Raw Data'!D226))</f>
        <v>Kano</v>
      </c>
      <c r="E226" s="3" t="str">
        <f>'Raw Data'!E226</f>
        <v>Online</v>
      </c>
      <c r="F226" s="3" t="str">
        <f>IF(PROPER(TRIM('Raw Data'!F226))="Accessory","Accessories",PROPER(TRIM('Raw Data'!F226)))</f>
        <v>Home</v>
      </c>
      <c r="G226" s="3" t="str">
        <f>'Raw Data'!G226</f>
        <v>Electric Kettle</v>
      </c>
      <c r="H226" s="3" t="str">
        <f>'Raw Data'!H226</f>
        <v>C1126</v>
      </c>
      <c r="I226" s="3" t="str">
        <f>'Raw Data'!I226</f>
        <v>New</v>
      </c>
      <c r="J226" s="3">
        <f>'Raw Data'!J226</f>
        <v>1</v>
      </c>
      <c r="K226" s="5">
        <f>'Raw Data'!K226</f>
        <v>24000</v>
      </c>
      <c r="L226" s="6">
        <f>'Raw Data'!L226</f>
        <v>0.05</v>
      </c>
      <c r="M226" s="5">
        <f>'Raw Data'!M226</f>
        <v>22800</v>
      </c>
      <c r="N226" s="5">
        <f t="shared" si="15"/>
        <v>22800</v>
      </c>
      <c r="O226" s="5">
        <f>'Raw Data'!N226</f>
        <v>15000</v>
      </c>
      <c r="P226" s="5">
        <f>IF(ISBLANK('Raw Data'!N226),AVERAGEIFS('Raw Data'!$N$2:$N$433,'Raw Data'!$G$2:$G$433,G226),'Raw Data'!N226)</f>
        <v>15000</v>
      </c>
      <c r="Q226" s="5">
        <f t="shared" si="16"/>
        <v>15000</v>
      </c>
      <c r="R226" s="5">
        <f t="shared" si="17"/>
        <v>7800</v>
      </c>
      <c r="S226" s="3" t="str">
        <f>'Raw Data'!O226</f>
        <v>No</v>
      </c>
      <c r="T226" s="3" t="str">
        <f>'Raw Data'!P226</f>
        <v>Kemi</v>
      </c>
      <c r="U226" s="3" t="str">
        <f t="shared" si="18"/>
        <v>February</v>
      </c>
      <c r="V226" s="11">
        <f t="shared" si="19"/>
        <v>0</v>
      </c>
    </row>
    <row r="227" spans="1:22" x14ac:dyDescent="0.25">
      <c r="A227" s="3">
        <f>'Raw Data'!A227</f>
        <v>100226</v>
      </c>
      <c r="B227" s="4">
        <f>'Raw Data'!B227</f>
        <v>46054</v>
      </c>
      <c r="C227" s="3" t="str">
        <f>'Raw Data'!C227</f>
        <v>IB-01</v>
      </c>
      <c r="D227" s="3" t="str">
        <f>PROPER(TRIM('Raw Data'!D227))</f>
        <v>Ibadan</v>
      </c>
      <c r="E227" s="3" t="str">
        <f>'Raw Data'!E227</f>
        <v>In-store</v>
      </c>
      <c r="F227" s="3" t="str">
        <f>IF(PROPER(TRIM('Raw Data'!F227))="Accessory","Accessories",PROPER(TRIM('Raw Data'!F227)))</f>
        <v>Home</v>
      </c>
      <c r="G227" s="3" t="str">
        <f>'Raw Data'!G227</f>
        <v>Electric Kettle</v>
      </c>
      <c r="H227" s="3" t="str">
        <f>'Raw Data'!H227</f>
        <v>C1032</v>
      </c>
      <c r="I227" s="3" t="str">
        <f>'Raw Data'!I227</f>
        <v>Returning</v>
      </c>
      <c r="J227" s="3">
        <f>'Raw Data'!J227</f>
        <v>1</v>
      </c>
      <c r="K227" s="5">
        <f>'Raw Data'!K227</f>
        <v>24000</v>
      </c>
      <c r="L227" s="6">
        <f>'Raw Data'!L227</f>
        <v>0.05</v>
      </c>
      <c r="M227" s="5">
        <f>'Raw Data'!M227</f>
        <v>22800</v>
      </c>
      <c r="N227" s="5">
        <f t="shared" si="15"/>
        <v>22800</v>
      </c>
      <c r="O227" s="5">
        <f>'Raw Data'!N227</f>
        <v>15000</v>
      </c>
      <c r="P227" s="5">
        <f>IF(ISBLANK('Raw Data'!N227),AVERAGEIFS('Raw Data'!$N$2:$N$433,'Raw Data'!$G$2:$G$433,G227),'Raw Data'!N227)</f>
        <v>15000</v>
      </c>
      <c r="Q227" s="5">
        <f t="shared" si="16"/>
        <v>15000</v>
      </c>
      <c r="R227" s="5">
        <f t="shared" si="17"/>
        <v>7800</v>
      </c>
      <c r="S227" s="3" t="str">
        <f>'Raw Data'!O227</f>
        <v>No</v>
      </c>
      <c r="T227" s="3" t="str">
        <f>'Raw Data'!P227</f>
        <v>Fatima</v>
      </c>
      <c r="U227" s="3" t="str">
        <f t="shared" si="18"/>
        <v>February</v>
      </c>
      <c r="V227" s="11">
        <f t="shared" si="19"/>
        <v>0</v>
      </c>
    </row>
    <row r="228" spans="1:22" x14ac:dyDescent="0.25">
      <c r="A228" s="3">
        <f>'Raw Data'!A228</f>
        <v>100227</v>
      </c>
      <c r="B228" s="4">
        <f>'Raw Data'!B228</f>
        <v>46114</v>
      </c>
      <c r="C228" s="3" t="str">
        <f>'Raw Data'!C228</f>
        <v>PH-01</v>
      </c>
      <c r="D228" s="3" t="str">
        <f>PROPER(TRIM('Raw Data'!D228))</f>
        <v>Port Harcourt</v>
      </c>
      <c r="E228" s="3" t="str">
        <f>'Raw Data'!E228</f>
        <v>In-store</v>
      </c>
      <c r="F228" s="3" t="str">
        <f>IF(PROPER(TRIM('Raw Data'!F228))="Accessory","Accessories",PROPER(TRIM('Raw Data'!F228)))</f>
        <v>Home</v>
      </c>
      <c r="G228" s="3" t="str">
        <f>'Raw Data'!G228</f>
        <v>Standing Fan</v>
      </c>
      <c r="H228" s="3" t="str">
        <f>'Raw Data'!H228</f>
        <v>C1137</v>
      </c>
      <c r="I228" s="3" t="str">
        <f>'Raw Data'!I228</f>
        <v>Returning</v>
      </c>
      <c r="J228" s="3">
        <f>'Raw Data'!J228</f>
        <v>2</v>
      </c>
      <c r="K228" s="5">
        <f>'Raw Data'!K228</f>
        <v>58000</v>
      </c>
      <c r="L228" s="6">
        <f>'Raw Data'!L228</f>
        <v>0</v>
      </c>
      <c r="M228" s="5">
        <f>'Raw Data'!M228</f>
        <v>116000</v>
      </c>
      <c r="N228" s="5">
        <f t="shared" si="15"/>
        <v>116000</v>
      </c>
      <c r="O228" s="5">
        <f>'Raw Data'!N228</f>
        <v>39000</v>
      </c>
      <c r="P228" s="5">
        <f>IF(ISBLANK('Raw Data'!N228),AVERAGEIFS('Raw Data'!$N$2:$N$433,'Raw Data'!$G$2:$G$433,G228),'Raw Data'!N228)</f>
        <v>39000</v>
      </c>
      <c r="Q228" s="5">
        <f t="shared" si="16"/>
        <v>78000</v>
      </c>
      <c r="R228" s="5">
        <f t="shared" si="17"/>
        <v>38000</v>
      </c>
      <c r="S228" s="3" t="str">
        <f>'Raw Data'!O228</f>
        <v>No</v>
      </c>
      <c r="T228" s="3" t="str">
        <f>'Raw Data'!P228</f>
        <v>Aisha</v>
      </c>
      <c r="U228" s="3" t="str">
        <f t="shared" si="18"/>
        <v>April</v>
      </c>
      <c r="V228" s="11">
        <f t="shared" si="19"/>
        <v>0</v>
      </c>
    </row>
    <row r="229" spans="1:22" x14ac:dyDescent="0.25">
      <c r="A229" s="3">
        <f>'Raw Data'!A229</f>
        <v>100228</v>
      </c>
      <c r="B229" s="4">
        <f>'Raw Data'!B229</f>
        <v>46099</v>
      </c>
      <c r="C229" s="3" t="str">
        <f>'Raw Data'!C229</f>
        <v>LG-01</v>
      </c>
      <c r="D229" s="3" t="str">
        <f>PROPER(TRIM('Raw Data'!D229))</f>
        <v>Lagos</v>
      </c>
      <c r="E229" s="3" t="str">
        <f>'Raw Data'!E229</f>
        <v>In-store</v>
      </c>
      <c r="F229" s="3" t="str">
        <f>IF(PROPER(TRIM('Raw Data'!F229))="Accessory","Accessories",PROPER(TRIM('Raw Data'!F229)))</f>
        <v>Electronics</v>
      </c>
      <c r="G229" s="3" t="str">
        <f>'Raw Data'!G229</f>
        <v>Earbuds</v>
      </c>
      <c r="H229" s="3" t="str">
        <f>'Raw Data'!H229</f>
        <v>C1059</v>
      </c>
      <c r="I229" s="3" t="str">
        <f>'Raw Data'!I229</f>
        <v>New</v>
      </c>
      <c r="J229" s="3">
        <f>'Raw Data'!J229</f>
        <v>3</v>
      </c>
      <c r="K229" s="5">
        <f>'Raw Data'!K229</f>
        <v>32000</v>
      </c>
      <c r="L229" s="6">
        <f>'Raw Data'!L229</f>
        <v>0.15</v>
      </c>
      <c r="M229" s="5">
        <f>'Raw Data'!M229</f>
        <v>81600</v>
      </c>
      <c r="N229" s="5">
        <f t="shared" si="15"/>
        <v>81600</v>
      </c>
      <c r="O229" s="5">
        <f>'Raw Data'!N229</f>
        <v>19000</v>
      </c>
      <c r="P229" s="5">
        <f>IF(ISBLANK('Raw Data'!N229),AVERAGEIFS('Raw Data'!$N$2:$N$433,'Raw Data'!$G$2:$G$433,G229),'Raw Data'!N229)</f>
        <v>19000</v>
      </c>
      <c r="Q229" s="5">
        <f t="shared" si="16"/>
        <v>57000</v>
      </c>
      <c r="R229" s="5">
        <f t="shared" si="17"/>
        <v>24600</v>
      </c>
      <c r="S229" s="3" t="str">
        <f>'Raw Data'!O229</f>
        <v>No</v>
      </c>
      <c r="T229" s="3" t="str">
        <f>'Raw Data'!P229</f>
        <v>Chinedu</v>
      </c>
      <c r="U229" s="3" t="str">
        <f t="shared" si="18"/>
        <v>March</v>
      </c>
      <c r="V229" s="11">
        <f t="shared" si="19"/>
        <v>0</v>
      </c>
    </row>
    <row r="230" spans="1:22" x14ac:dyDescent="0.25">
      <c r="A230" s="3">
        <f>'Raw Data'!A230</f>
        <v>100229</v>
      </c>
      <c r="B230" s="4">
        <f>'Raw Data'!B230</f>
        <v>46212</v>
      </c>
      <c r="C230" s="3" t="str">
        <f>'Raw Data'!C230</f>
        <v>KN-01</v>
      </c>
      <c r="D230" s="3" t="str">
        <f>PROPER(TRIM('Raw Data'!D230))</f>
        <v>Kano</v>
      </c>
      <c r="E230" s="3" t="str">
        <f>'Raw Data'!E230</f>
        <v>Online</v>
      </c>
      <c r="F230" s="3" t="str">
        <f>IF(PROPER(TRIM('Raw Data'!F230))="Accessory","Accessories",PROPER(TRIM('Raw Data'!F230)))</f>
        <v>Home</v>
      </c>
      <c r="G230" s="3" t="str">
        <f>'Raw Data'!G230</f>
        <v>Standing Fan</v>
      </c>
      <c r="H230" s="3" t="str">
        <f>'Raw Data'!H230</f>
        <v>C1126</v>
      </c>
      <c r="I230" s="3" t="str">
        <f>'Raw Data'!I230</f>
        <v>Returning</v>
      </c>
      <c r="J230" s="3">
        <f>'Raw Data'!J230</f>
        <v>1</v>
      </c>
      <c r="K230" s="5">
        <f>'Raw Data'!K230</f>
        <v>58000</v>
      </c>
      <c r="L230" s="6">
        <f>'Raw Data'!L230</f>
        <v>0.1</v>
      </c>
      <c r="M230" s="5">
        <f>'Raw Data'!M230</f>
        <v>52200</v>
      </c>
      <c r="N230" s="5">
        <f t="shared" si="15"/>
        <v>52200</v>
      </c>
      <c r="O230" s="5">
        <f>'Raw Data'!N230</f>
        <v>39000</v>
      </c>
      <c r="P230" s="5">
        <f>IF(ISBLANK('Raw Data'!N230),AVERAGEIFS('Raw Data'!$N$2:$N$433,'Raw Data'!$G$2:$G$433,G230),'Raw Data'!N230)</f>
        <v>39000</v>
      </c>
      <c r="Q230" s="5">
        <f t="shared" si="16"/>
        <v>39000</v>
      </c>
      <c r="R230" s="5">
        <f t="shared" si="17"/>
        <v>13200</v>
      </c>
      <c r="S230" s="3" t="str">
        <f>'Raw Data'!O230</f>
        <v>No</v>
      </c>
      <c r="T230" s="3" t="str">
        <f>'Raw Data'!P230</f>
        <v>Chinedu</v>
      </c>
      <c r="U230" s="3" t="str">
        <f t="shared" si="18"/>
        <v>July</v>
      </c>
      <c r="V230" s="11">
        <f t="shared" si="19"/>
        <v>0</v>
      </c>
    </row>
    <row r="231" spans="1:22" x14ac:dyDescent="0.25">
      <c r="A231" s="3">
        <f>'Raw Data'!A231</f>
        <v>100230</v>
      </c>
      <c r="B231" s="4">
        <f>'Raw Data'!B231</f>
        <v>46141</v>
      </c>
      <c r="C231" s="3" t="str">
        <f>'Raw Data'!C231</f>
        <v>KN-01</v>
      </c>
      <c r="D231" s="3" t="str">
        <f>PROPER(TRIM('Raw Data'!D231))</f>
        <v>Kano</v>
      </c>
      <c r="E231" s="3" t="str">
        <f>'Raw Data'!E231</f>
        <v>In-store</v>
      </c>
      <c r="F231" s="3" t="str">
        <f>IF(PROPER(TRIM('Raw Data'!F231))="Accessory","Accessories",PROPER(TRIM('Raw Data'!F231)))</f>
        <v>Electronics</v>
      </c>
      <c r="G231" s="3" t="str">
        <f>'Raw Data'!G231</f>
        <v>Power Bank</v>
      </c>
      <c r="H231" s="3" t="str">
        <f>'Raw Data'!H231</f>
        <v>C1074</v>
      </c>
      <c r="I231" s="3" t="str">
        <f>'Raw Data'!I231</f>
        <v>Returning</v>
      </c>
      <c r="J231" s="3">
        <f>'Raw Data'!J231</f>
        <v>3</v>
      </c>
      <c r="K231" s="5">
        <f>'Raw Data'!K231</f>
        <v>26000</v>
      </c>
      <c r="L231" s="6">
        <f>'Raw Data'!L231</f>
        <v>0.15</v>
      </c>
      <c r="M231" s="5">
        <f>'Raw Data'!M231</f>
        <v>66300</v>
      </c>
      <c r="N231" s="5">
        <f t="shared" si="15"/>
        <v>66300</v>
      </c>
      <c r="O231" s="5">
        <f>'Raw Data'!N231</f>
        <v>15000</v>
      </c>
      <c r="P231" s="5">
        <f>IF(ISBLANK('Raw Data'!N231),AVERAGEIFS('Raw Data'!$N$2:$N$433,'Raw Data'!$G$2:$G$433,G231),'Raw Data'!N231)</f>
        <v>15000</v>
      </c>
      <c r="Q231" s="5">
        <f t="shared" si="16"/>
        <v>45000</v>
      </c>
      <c r="R231" s="5">
        <f t="shared" si="17"/>
        <v>21300</v>
      </c>
      <c r="S231" s="3" t="str">
        <f>'Raw Data'!O231</f>
        <v>No</v>
      </c>
      <c r="T231" s="3" t="str">
        <f>'Raw Data'!P231</f>
        <v>Aisha</v>
      </c>
      <c r="U231" s="3" t="str">
        <f t="shared" si="18"/>
        <v>April</v>
      </c>
      <c r="V231" s="11">
        <f t="shared" si="19"/>
        <v>0</v>
      </c>
    </row>
    <row r="232" spans="1:22" x14ac:dyDescent="0.25">
      <c r="A232" s="3">
        <f>'Raw Data'!A232</f>
        <v>100231</v>
      </c>
      <c r="B232" s="4">
        <f>'Raw Data'!B232</f>
        <v>46109</v>
      </c>
      <c r="C232" s="3" t="str">
        <f>'Raw Data'!C232</f>
        <v>AB-01</v>
      </c>
      <c r="D232" s="3" t="str">
        <f>PROPER(TRIM('Raw Data'!D232))</f>
        <v>Abuja</v>
      </c>
      <c r="E232" s="3" t="str">
        <f>'Raw Data'!E232</f>
        <v>WhatsApp</v>
      </c>
      <c r="F232" s="3" t="str">
        <f>IF(PROPER(TRIM('Raw Data'!F232))="Accessory","Accessories",PROPER(TRIM('Raw Data'!F232)))</f>
        <v>Electronics</v>
      </c>
      <c r="G232" s="3" t="str">
        <f>'Raw Data'!G232</f>
        <v>Smartphone</v>
      </c>
      <c r="H232" s="3" t="str">
        <f>'Raw Data'!H232</f>
        <v>C1142</v>
      </c>
      <c r="I232" s="3" t="str">
        <f>'Raw Data'!I232</f>
        <v>Returning</v>
      </c>
      <c r="J232" s="3">
        <f>'Raw Data'!J232</f>
        <v>1</v>
      </c>
      <c r="K232" s="5">
        <f>'Raw Data'!K232</f>
        <v>165000</v>
      </c>
      <c r="L232" s="6">
        <f>'Raw Data'!L232</f>
        <v>0.2</v>
      </c>
      <c r="M232" s="5">
        <f>'Raw Data'!M232</f>
        <v>132000</v>
      </c>
      <c r="N232" s="5">
        <f t="shared" si="15"/>
        <v>132000</v>
      </c>
      <c r="O232" s="5">
        <f>'Raw Data'!N232</f>
        <v>112000</v>
      </c>
      <c r="P232" s="5">
        <f>IF(ISBLANK('Raw Data'!N232),AVERAGEIFS('Raw Data'!$N$2:$N$433,'Raw Data'!$G$2:$G$433,G232),'Raw Data'!N232)</f>
        <v>112000</v>
      </c>
      <c r="Q232" s="5">
        <f t="shared" si="16"/>
        <v>112000</v>
      </c>
      <c r="R232" s="5">
        <f t="shared" si="17"/>
        <v>20000</v>
      </c>
      <c r="S232" s="3" t="str">
        <f>'Raw Data'!O232</f>
        <v>No</v>
      </c>
      <c r="T232" s="3" t="str">
        <f>'Raw Data'!P232</f>
        <v>Grace</v>
      </c>
      <c r="U232" s="3" t="str">
        <f t="shared" si="18"/>
        <v>March</v>
      </c>
      <c r="V232" s="11">
        <f t="shared" si="19"/>
        <v>0</v>
      </c>
    </row>
    <row r="233" spans="1:22" x14ac:dyDescent="0.25">
      <c r="A233" s="3">
        <f>'Raw Data'!A233</f>
        <v>100232</v>
      </c>
      <c r="B233" s="4">
        <f>'Raw Data'!B233</f>
        <v>46237</v>
      </c>
      <c r="C233" s="3" t="str">
        <f>'Raw Data'!C233</f>
        <v>LG-01</v>
      </c>
      <c r="D233" s="3" t="str">
        <f>PROPER(TRIM('Raw Data'!D233))</f>
        <v>Lagos</v>
      </c>
      <c r="E233" s="3" t="str">
        <f>'Raw Data'!E233</f>
        <v>In-store</v>
      </c>
      <c r="F233" s="3" t="str">
        <f>IF(PROPER(TRIM('Raw Data'!F233))="Accessory","Accessories",PROPER(TRIM('Raw Data'!F233)))</f>
        <v>Electronics</v>
      </c>
      <c r="G233" s="3" t="str">
        <f>'Raw Data'!G233</f>
        <v>Smartphone</v>
      </c>
      <c r="H233" s="3" t="str">
        <f>'Raw Data'!H233</f>
        <v>C1059</v>
      </c>
      <c r="I233" s="3" t="str">
        <f>'Raw Data'!I233</f>
        <v>New</v>
      </c>
      <c r="J233" s="3">
        <f>'Raw Data'!J233</f>
        <v>1</v>
      </c>
      <c r="K233" s="5">
        <f>'Raw Data'!K233</f>
        <v>165000</v>
      </c>
      <c r="L233" s="6">
        <f>'Raw Data'!L233</f>
        <v>0.1</v>
      </c>
      <c r="M233" s="5">
        <f>'Raw Data'!M233</f>
        <v>148500</v>
      </c>
      <c r="N233" s="5">
        <f t="shared" si="15"/>
        <v>148500</v>
      </c>
      <c r="O233" s="5">
        <f>'Raw Data'!N233</f>
        <v>112000</v>
      </c>
      <c r="P233" s="5">
        <f>IF(ISBLANK('Raw Data'!N233),AVERAGEIFS('Raw Data'!$N$2:$N$433,'Raw Data'!$G$2:$G$433,G233),'Raw Data'!N233)</f>
        <v>112000</v>
      </c>
      <c r="Q233" s="5">
        <f t="shared" si="16"/>
        <v>112000</v>
      </c>
      <c r="R233" s="5">
        <f t="shared" si="17"/>
        <v>36500</v>
      </c>
      <c r="S233" s="3" t="str">
        <f>'Raw Data'!O233</f>
        <v>Yes</v>
      </c>
      <c r="T233" s="3" t="str">
        <f>'Raw Data'!P233</f>
        <v>David</v>
      </c>
      <c r="U233" s="3" t="str">
        <f t="shared" si="18"/>
        <v>August</v>
      </c>
      <c r="V233" s="11">
        <f t="shared" si="19"/>
        <v>1</v>
      </c>
    </row>
    <row r="234" spans="1:22" x14ac:dyDescent="0.25">
      <c r="A234" s="3">
        <f>'Raw Data'!A234</f>
        <v>100233</v>
      </c>
      <c r="B234" s="4">
        <f>'Raw Data'!B234</f>
        <v>46030</v>
      </c>
      <c r="C234" s="3" t="str">
        <f>'Raw Data'!C234</f>
        <v>IB-01</v>
      </c>
      <c r="D234" s="3" t="str">
        <f>PROPER(TRIM('Raw Data'!D234))</f>
        <v>Ibadan</v>
      </c>
      <c r="E234" s="3" t="str">
        <f>'Raw Data'!E234</f>
        <v>In-store</v>
      </c>
      <c r="F234" s="3" t="str">
        <f>IF(PROPER(TRIM('Raw Data'!F234))="Accessory","Accessories",PROPER(TRIM('Raw Data'!F234)))</f>
        <v>Accessories</v>
      </c>
      <c r="G234" s="3" t="str">
        <f>'Raw Data'!G234</f>
        <v>Phone Case</v>
      </c>
      <c r="H234" s="3" t="str">
        <f>'Raw Data'!H234</f>
        <v>C1097</v>
      </c>
      <c r="I234" s="3" t="str">
        <f>'Raw Data'!I234</f>
        <v>Returning</v>
      </c>
      <c r="J234" s="3">
        <f>'Raw Data'!J234</f>
        <v>3</v>
      </c>
      <c r="K234" s="5">
        <f>'Raw Data'!K234</f>
        <v>9000</v>
      </c>
      <c r="L234" s="6">
        <f>'Raw Data'!L234</f>
        <v>0.15</v>
      </c>
      <c r="M234" s="5">
        <f>'Raw Data'!M234</f>
        <v>27540</v>
      </c>
      <c r="N234" s="5">
        <f t="shared" si="15"/>
        <v>22950</v>
      </c>
      <c r="O234" s="5">
        <f>'Raw Data'!N234</f>
        <v>3500</v>
      </c>
      <c r="P234" s="5">
        <f>IF(ISBLANK('Raw Data'!N234),AVERAGEIFS('Raw Data'!$N$2:$N$433,'Raw Data'!$G$2:$G$433,G234),'Raw Data'!N234)</f>
        <v>3500</v>
      </c>
      <c r="Q234" s="5">
        <f t="shared" si="16"/>
        <v>10500</v>
      </c>
      <c r="R234" s="5">
        <f t="shared" si="17"/>
        <v>12450</v>
      </c>
      <c r="S234" s="3" t="str">
        <f>'Raw Data'!O234</f>
        <v>No</v>
      </c>
      <c r="T234" s="3" t="str">
        <f>'Raw Data'!P234</f>
        <v>David</v>
      </c>
      <c r="U234" s="3" t="str">
        <f t="shared" si="18"/>
        <v>January</v>
      </c>
      <c r="V234" s="11">
        <f t="shared" si="19"/>
        <v>0</v>
      </c>
    </row>
    <row r="235" spans="1:22" x14ac:dyDescent="0.25">
      <c r="A235" s="3">
        <f>'Raw Data'!A235</f>
        <v>100234</v>
      </c>
      <c r="B235" s="4">
        <f>'Raw Data'!B235</f>
        <v>46043</v>
      </c>
      <c r="C235" s="3" t="str">
        <f>'Raw Data'!C235</f>
        <v>KN-01</v>
      </c>
      <c r="D235" s="3" t="str">
        <f>PROPER(TRIM('Raw Data'!D235))</f>
        <v>Kano</v>
      </c>
      <c r="E235" s="3" t="str">
        <f>'Raw Data'!E235</f>
        <v>Online</v>
      </c>
      <c r="F235" s="3" t="str">
        <f>IF(PROPER(TRIM('Raw Data'!F235))="Accessory","Accessories",PROPER(TRIM('Raw Data'!F235)))</f>
        <v>Accessories</v>
      </c>
      <c r="G235" s="3" t="str">
        <f>'Raw Data'!G235</f>
        <v>Phone Case</v>
      </c>
      <c r="H235" s="3" t="str">
        <f>'Raw Data'!H235</f>
        <v>C1091</v>
      </c>
      <c r="I235" s="3" t="str">
        <f>'Raw Data'!I235</f>
        <v>New</v>
      </c>
      <c r="J235" s="3">
        <f>'Raw Data'!J235</f>
        <v>2</v>
      </c>
      <c r="K235" s="5">
        <f>'Raw Data'!K235</f>
        <v>9000</v>
      </c>
      <c r="L235" s="6">
        <f>'Raw Data'!L235</f>
        <v>0.1</v>
      </c>
      <c r="M235" s="5">
        <f>'Raw Data'!M235</f>
        <v>16200</v>
      </c>
      <c r="N235" s="5">
        <f t="shared" si="15"/>
        <v>16200</v>
      </c>
      <c r="O235" s="5">
        <f>'Raw Data'!N235</f>
        <v>3500</v>
      </c>
      <c r="P235" s="5">
        <f>IF(ISBLANK('Raw Data'!N235),AVERAGEIFS('Raw Data'!$N$2:$N$433,'Raw Data'!$G$2:$G$433,G235),'Raw Data'!N235)</f>
        <v>3500</v>
      </c>
      <c r="Q235" s="5">
        <f t="shared" si="16"/>
        <v>7000</v>
      </c>
      <c r="R235" s="5">
        <f t="shared" si="17"/>
        <v>9200</v>
      </c>
      <c r="S235" s="3" t="str">
        <f>'Raw Data'!O235</f>
        <v>No</v>
      </c>
      <c r="T235" s="3" t="str">
        <f>'Raw Data'!P235</f>
        <v>Bola</v>
      </c>
      <c r="U235" s="3" t="str">
        <f t="shared" si="18"/>
        <v>January</v>
      </c>
      <c r="V235" s="11">
        <f t="shared" si="19"/>
        <v>0</v>
      </c>
    </row>
    <row r="236" spans="1:22" x14ac:dyDescent="0.25">
      <c r="A236" s="3">
        <f>'Raw Data'!A236</f>
        <v>100235</v>
      </c>
      <c r="B236" s="4">
        <f>'Raw Data'!B236</f>
        <v>46164</v>
      </c>
      <c r="C236" s="3" t="str">
        <f>'Raw Data'!C236</f>
        <v>IB-01</v>
      </c>
      <c r="D236" s="3" t="str">
        <f>PROPER(TRIM('Raw Data'!D236))</f>
        <v>Ibadan</v>
      </c>
      <c r="E236" s="3" t="str">
        <f>'Raw Data'!E236</f>
        <v>WhatsApp</v>
      </c>
      <c r="F236" s="3" t="str">
        <f>IF(PROPER(TRIM('Raw Data'!F236))="Accessory","Accessories",PROPER(TRIM('Raw Data'!F236)))</f>
        <v>Home</v>
      </c>
      <c r="G236" s="3" t="str">
        <f>'Raw Data'!G236</f>
        <v>Electric Kettle</v>
      </c>
      <c r="H236" s="3" t="str">
        <f>'Raw Data'!H236</f>
        <v>C1064</v>
      </c>
      <c r="I236" s="3" t="str">
        <f>'Raw Data'!I236</f>
        <v>New</v>
      </c>
      <c r="J236" s="3">
        <f>'Raw Data'!J236</f>
        <v>2</v>
      </c>
      <c r="K236" s="5">
        <f>'Raw Data'!K236</f>
        <v>24000</v>
      </c>
      <c r="L236" s="6">
        <f>'Raw Data'!L236</f>
        <v>0.1</v>
      </c>
      <c r="M236" s="5">
        <f>'Raw Data'!M236</f>
        <v>38880</v>
      </c>
      <c r="N236" s="5">
        <f t="shared" si="15"/>
        <v>43200</v>
      </c>
      <c r="O236" s="5">
        <f>'Raw Data'!N236</f>
        <v>15000</v>
      </c>
      <c r="P236" s="5">
        <f>IF(ISBLANK('Raw Data'!N236),AVERAGEIFS('Raw Data'!$N$2:$N$433,'Raw Data'!$G$2:$G$433,G236),'Raw Data'!N236)</f>
        <v>15000</v>
      </c>
      <c r="Q236" s="5">
        <f t="shared" si="16"/>
        <v>30000</v>
      </c>
      <c r="R236" s="5">
        <f t="shared" si="17"/>
        <v>13200</v>
      </c>
      <c r="S236" s="3" t="str">
        <f>'Raw Data'!O236</f>
        <v>No</v>
      </c>
      <c r="T236" s="3" t="str">
        <f>'Raw Data'!P236</f>
        <v>Aisha</v>
      </c>
      <c r="U236" s="3" t="str">
        <f t="shared" si="18"/>
        <v>May</v>
      </c>
      <c r="V236" s="11">
        <f t="shared" si="19"/>
        <v>0</v>
      </c>
    </row>
    <row r="237" spans="1:22" x14ac:dyDescent="0.25">
      <c r="A237" s="3">
        <f>'Raw Data'!A237</f>
        <v>100236</v>
      </c>
      <c r="B237" s="4">
        <f>'Raw Data'!B237</f>
        <v>46091</v>
      </c>
      <c r="C237" s="3" t="str">
        <f>'Raw Data'!C237</f>
        <v>KN-01</v>
      </c>
      <c r="D237" s="3" t="str">
        <f>PROPER(TRIM('Raw Data'!D237))</f>
        <v>Kano</v>
      </c>
      <c r="E237" s="3" t="str">
        <f>'Raw Data'!E237</f>
        <v>In-store</v>
      </c>
      <c r="F237" s="3" t="str">
        <f>IF(PROPER(TRIM('Raw Data'!F237))="Accessory","Accessories",PROPER(TRIM('Raw Data'!F237)))</f>
        <v>Accessories</v>
      </c>
      <c r="G237" s="3" t="str">
        <f>'Raw Data'!G237</f>
        <v>USB Cable</v>
      </c>
      <c r="H237" s="3" t="str">
        <f>'Raw Data'!H237</f>
        <v>C1021</v>
      </c>
      <c r="I237" s="3" t="str">
        <f>'Raw Data'!I237</f>
        <v>Returning</v>
      </c>
      <c r="J237" s="3">
        <f>'Raw Data'!J237</f>
        <v>3</v>
      </c>
      <c r="K237" s="5">
        <f>'Raw Data'!K237</f>
        <v>6500</v>
      </c>
      <c r="L237" s="6">
        <f>'Raw Data'!L237</f>
        <v>0.1</v>
      </c>
      <c r="M237" s="5">
        <f>'Raw Data'!M237</f>
        <v>17550</v>
      </c>
      <c r="N237" s="5">
        <f t="shared" si="15"/>
        <v>17550</v>
      </c>
      <c r="O237" s="5">
        <f>'Raw Data'!N237</f>
        <v>2200</v>
      </c>
      <c r="P237" s="5">
        <f>IF(ISBLANK('Raw Data'!N237),AVERAGEIFS('Raw Data'!$N$2:$N$433,'Raw Data'!$G$2:$G$433,G237),'Raw Data'!N237)</f>
        <v>2200</v>
      </c>
      <c r="Q237" s="5">
        <f t="shared" si="16"/>
        <v>6600</v>
      </c>
      <c r="R237" s="5">
        <f t="shared" si="17"/>
        <v>10950</v>
      </c>
      <c r="S237" s="3" t="str">
        <f>'Raw Data'!O237</f>
        <v>No</v>
      </c>
      <c r="T237" s="3" t="str">
        <f>'Raw Data'!P237</f>
        <v>Grace</v>
      </c>
      <c r="U237" s="3" t="str">
        <f t="shared" si="18"/>
        <v>March</v>
      </c>
      <c r="V237" s="11">
        <f t="shared" si="19"/>
        <v>0</v>
      </c>
    </row>
    <row r="238" spans="1:22" x14ac:dyDescent="0.25">
      <c r="A238" s="3">
        <f>'Raw Data'!A238</f>
        <v>100237</v>
      </c>
      <c r="B238" s="4">
        <f>'Raw Data'!B238</f>
        <v>46186</v>
      </c>
      <c r="C238" s="3" t="str">
        <f>'Raw Data'!C238</f>
        <v>LG-01</v>
      </c>
      <c r="D238" s="3" t="str">
        <f>PROPER(TRIM('Raw Data'!D238))</f>
        <v>Lagos</v>
      </c>
      <c r="E238" s="3" t="str">
        <f>'Raw Data'!E238</f>
        <v>In-store</v>
      </c>
      <c r="F238" s="3" t="str">
        <f>IF(PROPER(TRIM('Raw Data'!F238))="Accessory","Accessories",PROPER(TRIM('Raw Data'!F238)))</f>
        <v>Electronics</v>
      </c>
      <c r="G238" s="3" t="str">
        <f>'Raw Data'!G238</f>
        <v>Power Bank</v>
      </c>
      <c r="H238" s="3" t="str">
        <f>'Raw Data'!H238</f>
        <v>C1054</v>
      </c>
      <c r="I238" s="3" t="str">
        <f>'Raw Data'!I238</f>
        <v>New</v>
      </c>
      <c r="J238" s="3">
        <f>'Raw Data'!J238</f>
        <v>4</v>
      </c>
      <c r="K238" s="5">
        <f>'Raw Data'!K238</f>
        <v>26000</v>
      </c>
      <c r="L238" s="6">
        <f>'Raw Data'!L238</f>
        <v>0.1</v>
      </c>
      <c r="M238" s="5">
        <f>'Raw Data'!M238</f>
        <v>93600</v>
      </c>
      <c r="N238" s="5">
        <f t="shared" si="15"/>
        <v>93600</v>
      </c>
      <c r="O238" s="5">
        <f>'Raw Data'!N238</f>
        <v>15000</v>
      </c>
      <c r="P238" s="5">
        <f>IF(ISBLANK('Raw Data'!N238),AVERAGEIFS('Raw Data'!$N$2:$N$433,'Raw Data'!$G$2:$G$433,G238),'Raw Data'!N238)</f>
        <v>15000</v>
      </c>
      <c r="Q238" s="5">
        <f t="shared" si="16"/>
        <v>60000</v>
      </c>
      <c r="R238" s="5">
        <f t="shared" si="17"/>
        <v>33600</v>
      </c>
      <c r="S238" s="3" t="str">
        <f>'Raw Data'!O238</f>
        <v>No</v>
      </c>
      <c r="T238" s="3" t="str">
        <f>'Raw Data'!P238</f>
        <v>Ibrahim</v>
      </c>
      <c r="U238" s="3" t="str">
        <f t="shared" si="18"/>
        <v>June</v>
      </c>
      <c r="V238" s="11">
        <f t="shared" si="19"/>
        <v>0</v>
      </c>
    </row>
    <row r="239" spans="1:22" x14ac:dyDescent="0.25">
      <c r="A239" s="3">
        <f>'Raw Data'!A239</f>
        <v>100238</v>
      </c>
      <c r="B239" s="4">
        <f>'Raw Data'!B239</f>
        <v>46033</v>
      </c>
      <c r="C239" s="3" t="str">
        <f>'Raw Data'!C239</f>
        <v>PH-01</v>
      </c>
      <c r="D239" s="3" t="str">
        <f>PROPER(TRIM('Raw Data'!D239))</f>
        <v>Port Harcourt</v>
      </c>
      <c r="E239" s="3" t="str">
        <f>'Raw Data'!E239</f>
        <v>Online</v>
      </c>
      <c r="F239" s="3" t="str">
        <f>IF(PROPER(TRIM('Raw Data'!F239))="Accessory","Accessories",PROPER(TRIM('Raw Data'!F239)))</f>
        <v>Home</v>
      </c>
      <c r="G239" s="3" t="str">
        <f>'Raw Data'!G239</f>
        <v>Electric Kettle</v>
      </c>
      <c r="H239" s="3" t="str">
        <f>'Raw Data'!H239</f>
        <v>C1025</v>
      </c>
      <c r="I239" s="3" t="str">
        <f>'Raw Data'!I239</f>
        <v>New</v>
      </c>
      <c r="J239" s="3">
        <f>'Raw Data'!J239</f>
        <v>2</v>
      </c>
      <c r="K239" s="5">
        <f>'Raw Data'!K239</f>
        <v>24000</v>
      </c>
      <c r="L239" s="6">
        <f>'Raw Data'!L239</f>
        <v>0</v>
      </c>
      <c r="M239" s="5">
        <f>'Raw Data'!M239</f>
        <v>48000</v>
      </c>
      <c r="N239" s="5">
        <f t="shared" si="15"/>
        <v>48000</v>
      </c>
      <c r="O239" s="5">
        <f>'Raw Data'!N239</f>
        <v>15000</v>
      </c>
      <c r="P239" s="5">
        <f>IF(ISBLANK('Raw Data'!N239),AVERAGEIFS('Raw Data'!$N$2:$N$433,'Raw Data'!$G$2:$G$433,G239),'Raw Data'!N239)</f>
        <v>15000</v>
      </c>
      <c r="Q239" s="5">
        <f t="shared" si="16"/>
        <v>30000</v>
      </c>
      <c r="R239" s="5">
        <f t="shared" si="17"/>
        <v>18000</v>
      </c>
      <c r="S239" s="3" t="str">
        <f>'Raw Data'!O239</f>
        <v>No</v>
      </c>
      <c r="T239" s="3" t="str">
        <f>'Raw Data'!P239</f>
        <v>Bola</v>
      </c>
      <c r="U239" s="3" t="str">
        <f t="shared" si="18"/>
        <v>January</v>
      </c>
      <c r="V239" s="11">
        <f t="shared" si="19"/>
        <v>0</v>
      </c>
    </row>
    <row r="240" spans="1:22" x14ac:dyDescent="0.25">
      <c r="A240" s="3">
        <f>'Raw Data'!A240</f>
        <v>100239</v>
      </c>
      <c r="B240" s="4">
        <f>'Raw Data'!B240</f>
        <v>46187</v>
      </c>
      <c r="C240" s="3" t="str">
        <f>'Raw Data'!C240</f>
        <v>PH-01</v>
      </c>
      <c r="D240" s="3" t="str">
        <f>PROPER(TRIM('Raw Data'!D240))</f>
        <v>Port Harcourt</v>
      </c>
      <c r="E240" s="3" t="str">
        <f>'Raw Data'!E240</f>
        <v>WhatsApp</v>
      </c>
      <c r="F240" s="3" t="str">
        <f>IF(PROPER(TRIM('Raw Data'!F240))="Accessory","Accessories",PROPER(TRIM('Raw Data'!F240)))</f>
        <v>Electronics</v>
      </c>
      <c r="G240" s="3" t="str">
        <f>'Raw Data'!G240</f>
        <v>Smartphone</v>
      </c>
      <c r="H240" s="3" t="str">
        <f>'Raw Data'!H240</f>
        <v>C1101</v>
      </c>
      <c r="I240" s="3" t="str">
        <f>'Raw Data'!I240</f>
        <v>Returning</v>
      </c>
      <c r="J240" s="3">
        <f>'Raw Data'!J240</f>
        <v>1</v>
      </c>
      <c r="K240" s="5">
        <f>'Raw Data'!K240</f>
        <v>165000</v>
      </c>
      <c r="L240" s="6">
        <f>'Raw Data'!L240</f>
        <v>0.15</v>
      </c>
      <c r="M240" s="5">
        <f>'Raw Data'!M240</f>
        <v>140250</v>
      </c>
      <c r="N240" s="5">
        <f t="shared" si="15"/>
        <v>140250</v>
      </c>
      <c r="O240" s="5">
        <f>'Raw Data'!N240</f>
        <v>112000</v>
      </c>
      <c r="P240" s="5">
        <f>IF(ISBLANK('Raw Data'!N240),AVERAGEIFS('Raw Data'!$N$2:$N$433,'Raw Data'!$G$2:$G$433,G240),'Raw Data'!N240)</f>
        <v>112000</v>
      </c>
      <c r="Q240" s="5">
        <f t="shared" si="16"/>
        <v>112000</v>
      </c>
      <c r="R240" s="5">
        <f t="shared" si="17"/>
        <v>28250</v>
      </c>
      <c r="S240" s="3" t="str">
        <f>'Raw Data'!O240</f>
        <v>No</v>
      </c>
      <c r="T240" s="3" t="str">
        <f>'Raw Data'!P240</f>
        <v>Chinedu</v>
      </c>
      <c r="U240" s="3" t="str">
        <f t="shared" si="18"/>
        <v>June</v>
      </c>
      <c r="V240" s="11">
        <f t="shared" si="19"/>
        <v>0</v>
      </c>
    </row>
    <row r="241" spans="1:22" x14ac:dyDescent="0.25">
      <c r="A241" s="3">
        <f>'Raw Data'!A241</f>
        <v>100240</v>
      </c>
      <c r="B241" s="4">
        <f>'Raw Data'!B241</f>
        <v>46038</v>
      </c>
      <c r="C241" s="3" t="str">
        <f>'Raw Data'!C241</f>
        <v>LG-01</v>
      </c>
      <c r="D241" s="3" t="str">
        <f>PROPER(TRIM('Raw Data'!D241))</f>
        <v>Lagos</v>
      </c>
      <c r="E241" s="3" t="str">
        <f>'Raw Data'!E241</f>
        <v>Online</v>
      </c>
      <c r="F241" s="3" t="str">
        <f>IF(PROPER(TRIM('Raw Data'!F241))="Accessory","Accessories",PROPER(TRIM('Raw Data'!F241)))</f>
        <v>Electronics</v>
      </c>
      <c r="G241" s="3" t="str">
        <f>'Raw Data'!G241</f>
        <v>Power Bank</v>
      </c>
      <c r="H241" s="3" t="str">
        <f>'Raw Data'!H241</f>
        <v>C1136</v>
      </c>
      <c r="I241" s="3" t="str">
        <f>'Raw Data'!I241</f>
        <v>New</v>
      </c>
      <c r="J241" s="3">
        <f>'Raw Data'!J241</f>
        <v>3</v>
      </c>
      <c r="K241" s="5">
        <f>'Raw Data'!K241</f>
        <v>26000</v>
      </c>
      <c r="L241" s="6">
        <f>'Raw Data'!L241</f>
        <v>0.15</v>
      </c>
      <c r="M241" s="5">
        <f>'Raw Data'!M241</f>
        <v>66300</v>
      </c>
      <c r="N241" s="5">
        <f t="shared" si="15"/>
        <v>66300</v>
      </c>
      <c r="O241" s="5">
        <f>'Raw Data'!N241</f>
        <v>15000</v>
      </c>
      <c r="P241" s="5">
        <f>IF(ISBLANK('Raw Data'!N241),AVERAGEIFS('Raw Data'!$N$2:$N$433,'Raw Data'!$G$2:$G$433,G241),'Raw Data'!N241)</f>
        <v>15000</v>
      </c>
      <c r="Q241" s="5">
        <f t="shared" si="16"/>
        <v>45000</v>
      </c>
      <c r="R241" s="5">
        <f t="shared" si="17"/>
        <v>21300</v>
      </c>
      <c r="S241" s="3" t="str">
        <f>'Raw Data'!O241</f>
        <v>No</v>
      </c>
      <c r="T241" s="3" t="str">
        <f>'Raw Data'!P241</f>
        <v>Chinedu</v>
      </c>
      <c r="U241" s="3" t="str">
        <f t="shared" si="18"/>
        <v>January</v>
      </c>
      <c r="V241" s="11">
        <f t="shared" si="19"/>
        <v>0</v>
      </c>
    </row>
    <row r="242" spans="1:22" x14ac:dyDescent="0.25">
      <c r="A242" s="3">
        <f>'Raw Data'!A242</f>
        <v>100241</v>
      </c>
      <c r="B242" s="4">
        <f>'Raw Data'!B242</f>
        <v>46084</v>
      </c>
      <c r="C242" s="3" t="str">
        <f>'Raw Data'!C242</f>
        <v>LG-02</v>
      </c>
      <c r="D242" s="3" t="str">
        <f>PROPER(TRIM('Raw Data'!D242))</f>
        <v>Lagos</v>
      </c>
      <c r="E242" s="3" t="str">
        <f>'Raw Data'!E242</f>
        <v>Online</v>
      </c>
      <c r="F242" s="3" t="str">
        <f>IF(PROPER(TRIM('Raw Data'!F242))="Accessory","Accessories",PROPER(TRIM('Raw Data'!F242)))</f>
        <v>Accessories</v>
      </c>
      <c r="G242" s="3" t="str">
        <f>'Raw Data'!G242</f>
        <v>USB Cable</v>
      </c>
      <c r="H242" s="3" t="str">
        <f>'Raw Data'!H242</f>
        <v>C1023</v>
      </c>
      <c r="I242" s="3" t="str">
        <f>'Raw Data'!I242</f>
        <v>Returning</v>
      </c>
      <c r="J242" s="3">
        <f>'Raw Data'!J242</f>
        <v>4</v>
      </c>
      <c r="K242" s="5">
        <f>'Raw Data'!K242</f>
        <v>6500</v>
      </c>
      <c r="L242" s="6">
        <f>'Raw Data'!L242</f>
        <v>0.1</v>
      </c>
      <c r="M242" s="5">
        <f>'Raw Data'!M242</f>
        <v>23400</v>
      </c>
      <c r="N242" s="5">
        <f t="shared" si="15"/>
        <v>23400</v>
      </c>
      <c r="O242" s="5">
        <f>'Raw Data'!N242</f>
        <v>2200</v>
      </c>
      <c r="P242" s="5">
        <f>IF(ISBLANK('Raw Data'!N242),AVERAGEIFS('Raw Data'!$N$2:$N$433,'Raw Data'!$G$2:$G$433,G242),'Raw Data'!N242)</f>
        <v>2200</v>
      </c>
      <c r="Q242" s="5">
        <f t="shared" si="16"/>
        <v>8800</v>
      </c>
      <c r="R242" s="5">
        <f t="shared" si="17"/>
        <v>14600</v>
      </c>
      <c r="S242" s="3" t="str">
        <f>'Raw Data'!O242</f>
        <v>No</v>
      </c>
      <c r="T242" s="3" t="str">
        <f>'Raw Data'!P242</f>
        <v>Grace</v>
      </c>
      <c r="U242" s="3" t="str">
        <f t="shared" si="18"/>
        <v>March</v>
      </c>
      <c r="V242" s="11">
        <f t="shared" si="19"/>
        <v>0</v>
      </c>
    </row>
    <row r="243" spans="1:22" x14ac:dyDescent="0.25">
      <c r="A243" s="3">
        <f>'Raw Data'!A243</f>
        <v>100242</v>
      </c>
      <c r="B243" s="4">
        <f>'Raw Data'!B243</f>
        <v>46090</v>
      </c>
      <c r="C243" s="3" t="str">
        <f>'Raw Data'!C243</f>
        <v>KN-01</v>
      </c>
      <c r="D243" s="3" t="str">
        <f>PROPER(TRIM('Raw Data'!D243))</f>
        <v>Kano</v>
      </c>
      <c r="E243" s="3" t="str">
        <f>'Raw Data'!E243</f>
        <v>In-store</v>
      </c>
      <c r="F243" s="3" t="str">
        <f>IF(PROPER(TRIM('Raw Data'!F243))="Accessory","Accessories",PROPER(TRIM('Raw Data'!F243)))</f>
        <v>Home</v>
      </c>
      <c r="G243" s="3" t="str">
        <f>'Raw Data'!G243</f>
        <v>Electric Kettle</v>
      </c>
      <c r="H243" s="3" t="str">
        <f>'Raw Data'!H243</f>
        <v>C1116</v>
      </c>
      <c r="I243" s="3" t="str">
        <f>'Raw Data'!I243</f>
        <v>New</v>
      </c>
      <c r="J243" s="3">
        <f>'Raw Data'!J243</f>
        <v>2</v>
      </c>
      <c r="K243" s="5">
        <f>'Raw Data'!K243</f>
        <v>24000</v>
      </c>
      <c r="L243" s="6">
        <f>'Raw Data'!L243</f>
        <v>0.1</v>
      </c>
      <c r="M243" s="5">
        <f>'Raw Data'!M243</f>
        <v>43200</v>
      </c>
      <c r="N243" s="5">
        <f t="shared" si="15"/>
        <v>43200</v>
      </c>
      <c r="O243" s="5">
        <f>'Raw Data'!N243</f>
        <v>15000</v>
      </c>
      <c r="P243" s="5">
        <f>IF(ISBLANK('Raw Data'!N243),AVERAGEIFS('Raw Data'!$N$2:$N$433,'Raw Data'!$G$2:$G$433,G243),'Raw Data'!N243)</f>
        <v>15000</v>
      </c>
      <c r="Q243" s="5">
        <f t="shared" si="16"/>
        <v>30000</v>
      </c>
      <c r="R243" s="5">
        <f t="shared" si="17"/>
        <v>13200</v>
      </c>
      <c r="S243" s="3" t="str">
        <f>'Raw Data'!O243</f>
        <v>Yes</v>
      </c>
      <c r="T243" s="3" t="str">
        <f>'Raw Data'!P243</f>
        <v>Kemi</v>
      </c>
      <c r="U243" s="3" t="str">
        <f t="shared" si="18"/>
        <v>March</v>
      </c>
      <c r="V243" s="11">
        <f t="shared" si="19"/>
        <v>1</v>
      </c>
    </row>
    <row r="244" spans="1:22" x14ac:dyDescent="0.25">
      <c r="A244" s="3">
        <f>'Raw Data'!A244</f>
        <v>100243</v>
      </c>
      <c r="B244" s="4">
        <f>'Raw Data'!B244</f>
        <v>46219</v>
      </c>
      <c r="C244" s="3" t="str">
        <f>'Raw Data'!C244</f>
        <v>LG-01</v>
      </c>
      <c r="D244" s="3" t="str">
        <f>PROPER(TRIM('Raw Data'!D244))</f>
        <v>Lagos</v>
      </c>
      <c r="E244" s="3" t="str">
        <f>'Raw Data'!E244</f>
        <v>Online</v>
      </c>
      <c r="F244" s="3" t="str">
        <f>IF(PROPER(TRIM('Raw Data'!F244))="Accessory","Accessories",PROPER(TRIM('Raw Data'!F244)))</f>
        <v>Home</v>
      </c>
      <c r="G244" s="3" t="str">
        <f>'Raw Data'!G244</f>
        <v>Electric Kettle</v>
      </c>
      <c r="H244" s="3" t="str">
        <f>'Raw Data'!H244</f>
        <v>C1013</v>
      </c>
      <c r="I244" s="3" t="str">
        <f>'Raw Data'!I244</f>
        <v>New</v>
      </c>
      <c r="J244" s="3">
        <f>'Raw Data'!J244</f>
        <v>5</v>
      </c>
      <c r="K244" s="5">
        <f>'Raw Data'!K244</f>
        <v>24000</v>
      </c>
      <c r="L244" s="6">
        <f>'Raw Data'!L244</f>
        <v>0.1</v>
      </c>
      <c r="M244" s="5">
        <f>'Raw Data'!M244</f>
        <v>108000</v>
      </c>
      <c r="N244" s="5">
        <f t="shared" si="15"/>
        <v>108000</v>
      </c>
      <c r="O244" s="5">
        <f>'Raw Data'!N244</f>
        <v>15000</v>
      </c>
      <c r="P244" s="5">
        <f>IF(ISBLANK('Raw Data'!N244),AVERAGEIFS('Raw Data'!$N$2:$N$433,'Raw Data'!$G$2:$G$433,G244),'Raw Data'!N244)</f>
        <v>15000</v>
      </c>
      <c r="Q244" s="5">
        <f t="shared" si="16"/>
        <v>75000</v>
      </c>
      <c r="R244" s="5">
        <f t="shared" si="17"/>
        <v>33000</v>
      </c>
      <c r="S244" s="3" t="str">
        <f>'Raw Data'!O244</f>
        <v>No</v>
      </c>
      <c r="T244" s="3" t="str">
        <f>'Raw Data'!P244</f>
        <v>Fatima</v>
      </c>
      <c r="U244" s="3" t="str">
        <f t="shared" si="18"/>
        <v>July</v>
      </c>
      <c r="V244" s="11">
        <f t="shared" si="19"/>
        <v>0</v>
      </c>
    </row>
    <row r="245" spans="1:22" x14ac:dyDescent="0.25">
      <c r="A245" s="3">
        <f>'Raw Data'!A245</f>
        <v>100244</v>
      </c>
      <c r="B245" s="4">
        <f>'Raw Data'!B245</f>
        <v>46051</v>
      </c>
      <c r="C245" s="3" t="str">
        <f>'Raw Data'!C245</f>
        <v>KN-01</v>
      </c>
      <c r="D245" s="3" t="str">
        <f>PROPER(TRIM('Raw Data'!D245))</f>
        <v>Kano</v>
      </c>
      <c r="E245" s="3" t="str">
        <f>'Raw Data'!E245</f>
        <v>WhatsApp</v>
      </c>
      <c r="F245" s="3" t="str">
        <f>IF(PROPER(TRIM('Raw Data'!F245))="Accessory","Accessories",PROPER(TRIM('Raw Data'!F245)))</f>
        <v>Electronics</v>
      </c>
      <c r="G245" s="3" t="str">
        <f>'Raw Data'!G245</f>
        <v>Power Bank</v>
      </c>
      <c r="H245" s="3" t="str">
        <f>'Raw Data'!H245</f>
        <v>C1140</v>
      </c>
      <c r="I245" s="3" t="str">
        <f>'Raw Data'!I245</f>
        <v>Returning</v>
      </c>
      <c r="J245" s="3">
        <f>'Raw Data'!J245</f>
        <v>3</v>
      </c>
      <c r="K245" s="5">
        <f>'Raw Data'!K245</f>
        <v>26000</v>
      </c>
      <c r="L245" s="6">
        <f>'Raw Data'!L245</f>
        <v>0.05</v>
      </c>
      <c r="M245" s="5">
        <f>'Raw Data'!M245</f>
        <v>74100</v>
      </c>
      <c r="N245" s="5">
        <f t="shared" si="15"/>
        <v>74100</v>
      </c>
      <c r="O245" s="5">
        <f>'Raw Data'!N245</f>
        <v>15000</v>
      </c>
      <c r="P245" s="5">
        <f>IF(ISBLANK('Raw Data'!N245),AVERAGEIFS('Raw Data'!$N$2:$N$433,'Raw Data'!$G$2:$G$433,G245),'Raw Data'!N245)</f>
        <v>15000</v>
      </c>
      <c r="Q245" s="5">
        <f t="shared" si="16"/>
        <v>45000</v>
      </c>
      <c r="R245" s="5">
        <f t="shared" si="17"/>
        <v>29100</v>
      </c>
      <c r="S245" s="3" t="str">
        <f>'Raw Data'!O245</f>
        <v>No</v>
      </c>
      <c r="T245" s="3" t="str">
        <f>'Raw Data'!P245</f>
        <v>Kemi</v>
      </c>
      <c r="U245" s="3" t="str">
        <f t="shared" si="18"/>
        <v>January</v>
      </c>
      <c r="V245" s="11">
        <f t="shared" si="19"/>
        <v>0</v>
      </c>
    </row>
    <row r="246" spans="1:22" x14ac:dyDescent="0.25">
      <c r="A246" s="3">
        <f>'Raw Data'!A246</f>
        <v>100245</v>
      </c>
      <c r="B246" s="4">
        <f>'Raw Data'!B246</f>
        <v>46199</v>
      </c>
      <c r="C246" s="3" t="str">
        <f>'Raw Data'!C246</f>
        <v>LG-02</v>
      </c>
      <c r="D246" s="3" t="str">
        <f>PROPER(TRIM('Raw Data'!D246))</f>
        <v>Lagos</v>
      </c>
      <c r="E246" s="3" t="str">
        <f>'Raw Data'!E246</f>
        <v>Online</v>
      </c>
      <c r="F246" s="3" t="str">
        <f>IF(PROPER(TRIM('Raw Data'!F246))="Accessory","Accessories",PROPER(TRIM('Raw Data'!F246)))</f>
        <v>Accessories</v>
      </c>
      <c r="G246" s="3" t="str">
        <f>'Raw Data'!G246</f>
        <v>Backpack</v>
      </c>
      <c r="H246" s="3" t="str">
        <f>'Raw Data'!H246</f>
        <v>C1071</v>
      </c>
      <c r="I246" s="3" t="str">
        <f>'Raw Data'!I246</f>
        <v>New</v>
      </c>
      <c r="J246" s="3">
        <f>'Raw Data'!J246</f>
        <v>1</v>
      </c>
      <c r="K246" s="5">
        <f>'Raw Data'!K246</f>
        <v>28000</v>
      </c>
      <c r="L246" s="6">
        <f>'Raw Data'!L246</f>
        <v>0.15</v>
      </c>
      <c r="M246" s="5">
        <f>'Raw Data'!M246</f>
        <v>23800</v>
      </c>
      <c r="N246" s="5">
        <f t="shared" si="15"/>
        <v>23800</v>
      </c>
      <c r="O246" s="5">
        <f>'Raw Data'!N246</f>
        <v>16000</v>
      </c>
      <c r="P246" s="5">
        <f>IF(ISBLANK('Raw Data'!N246),AVERAGEIFS('Raw Data'!$N$2:$N$433,'Raw Data'!$G$2:$G$433,G246),'Raw Data'!N246)</f>
        <v>16000</v>
      </c>
      <c r="Q246" s="5">
        <f t="shared" si="16"/>
        <v>16000</v>
      </c>
      <c r="R246" s="5">
        <f t="shared" si="17"/>
        <v>7800</v>
      </c>
      <c r="S246" s="3" t="str">
        <f>'Raw Data'!O246</f>
        <v>No</v>
      </c>
      <c r="T246" s="3" t="str">
        <f>'Raw Data'!P246</f>
        <v>Bola</v>
      </c>
      <c r="U246" s="3" t="str">
        <f t="shared" si="18"/>
        <v>June</v>
      </c>
      <c r="V246" s="11">
        <f t="shared" si="19"/>
        <v>0</v>
      </c>
    </row>
    <row r="247" spans="1:22" x14ac:dyDescent="0.25">
      <c r="A247" s="3">
        <f>'Raw Data'!A247</f>
        <v>100246</v>
      </c>
      <c r="B247" s="4">
        <f>'Raw Data'!B247</f>
        <v>46231</v>
      </c>
      <c r="C247" s="3" t="str">
        <f>'Raw Data'!C247</f>
        <v>KN-01</v>
      </c>
      <c r="D247" s="3" t="str">
        <f>PROPER(TRIM('Raw Data'!D247))</f>
        <v>Kano</v>
      </c>
      <c r="E247" s="3" t="str">
        <f>'Raw Data'!E247</f>
        <v>In-store</v>
      </c>
      <c r="F247" s="3" t="str">
        <f>IF(PROPER(TRIM('Raw Data'!F247))="Accessory","Accessories",PROPER(TRIM('Raw Data'!F247)))</f>
        <v>Electronics</v>
      </c>
      <c r="G247" s="3" t="str">
        <f>'Raw Data'!G247</f>
        <v>Smartphone</v>
      </c>
      <c r="H247" s="3" t="str">
        <f>'Raw Data'!H247</f>
        <v>C1045</v>
      </c>
      <c r="I247" s="3" t="str">
        <f>'Raw Data'!I247</f>
        <v>New</v>
      </c>
      <c r="J247" s="3">
        <f>'Raw Data'!J247</f>
        <v>1</v>
      </c>
      <c r="K247" s="5">
        <f>'Raw Data'!K247</f>
        <v>165000</v>
      </c>
      <c r="L247" s="6">
        <f>'Raw Data'!L247</f>
        <v>0.05</v>
      </c>
      <c r="M247" s="5">
        <f>'Raw Data'!M247</f>
        <v>156750</v>
      </c>
      <c r="N247" s="5">
        <f t="shared" si="15"/>
        <v>156750</v>
      </c>
      <c r="O247" s="5">
        <f>'Raw Data'!N247</f>
        <v>112000</v>
      </c>
      <c r="P247" s="5">
        <f>IF(ISBLANK('Raw Data'!N247),AVERAGEIFS('Raw Data'!$N$2:$N$433,'Raw Data'!$G$2:$G$433,G247),'Raw Data'!N247)</f>
        <v>112000</v>
      </c>
      <c r="Q247" s="5">
        <f t="shared" si="16"/>
        <v>112000</v>
      </c>
      <c r="R247" s="5">
        <f t="shared" si="17"/>
        <v>44750</v>
      </c>
      <c r="S247" s="3" t="str">
        <f>'Raw Data'!O247</f>
        <v>No</v>
      </c>
      <c r="T247" s="3" t="str">
        <f>'Raw Data'!P247</f>
        <v>Chinedu</v>
      </c>
      <c r="U247" s="3" t="str">
        <f t="shared" si="18"/>
        <v>July</v>
      </c>
      <c r="V247" s="11">
        <f t="shared" si="19"/>
        <v>0</v>
      </c>
    </row>
    <row r="248" spans="1:22" x14ac:dyDescent="0.25">
      <c r="A248" s="3">
        <f>'Raw Data'!A248</f>
        <v>100247</v>
      </c>
      <c r="B248" s="4">
        <f>'Raw Data'!B248</f>
        <v>46237</v>
      </c>
      <c r="C248" s="3" t="str">
        <f>'Raw Data'!C248</f>
        <v>AB-01</v>
      </c>
      <c r="D248" s="3" t="str">
        <f>PROPER(TRIM('Raw Data'!D248))</f>
        <v>Abuja</v>
      </c>
      <c r="E248" s="3" t="str">
        <f>'Raw Data'!E248</f>
        <v>In-store</v>
      </c>
      <c r="F248" s="3" t="str">
        <f>IF(PROPER(TRIM('Raw Data'!F248))="Accessory","Accessories",PROPER(TRIM('Raw Data'!F248)))</f>
        <v>Home</v>
      </c>
      <c r="G248" s="3" t="str">
        <f>'Raw Data'!G248</f>
        <v>Electric Kettle</v>
      </c>
      <c r="H248" s="3" t="str">
        <f>'Raw Data'!H248</f>
        <v>C1063</v>
      </c>
      <c r="I248" s="3" t="str">
        <f>'Raw Data'!I248</f>
        <v>Returning</v>
      </c>
      <c r="J248" s="3">
        <f>'Raw Data'!J248</f>
        <v>2</v>
      </c>
      <c r="K248" s="5">
        <f>'Raw Data'!K248</f>
        <v>24000</v>
      </c>
      <c r="L248" s="6">
        <f>'Raw Data'!L248</f>
        <v>0.2</v>
      </c>
      <c r="M248" s="5">
        <f>'Raw Data'!M248</f>
        <v>38400</v>
      </c>
      <c r="N248" s="5">
        <f t="shared" si="15"/>
        <v>38400</v>
      </c>
      <c r="O248" s="3">
        <f>'Raw Data'!N248</f>
        <v>0</v>
      </c>
      <c r="P248" s="5">
        <f>IF(ISBLANK('Raw Data'!N248),AVERAGEIFS('Raw Data'!$N$2:$N$433,'Raw Data'!$G$2:$G$433,G248),'Raw Data'!N248)</f>
        <v>15000</v>
      </c>
      <c r="Q248" s="5">
        <f t="shared" si="16"/>
        <v>30000</v>
      </c>
      <c r="R248" s="5">
        <f t="shared" si="17"/>
        <v>8400</v>
      </c>
      <c r="S248" s="3" t="str">
        <f>'Raw Data'!O248</f>
        <v>No</v>
      </c>
      <c r="T248" s="3" t="str">
        <f>'Raw Data'!P248</f>
        <v>Grace</v>
      </c>
      <c r="U248" s="3" t="str">
        <f t="shared" si="18"/>
        <v>August</v>
      </c>
      <c r="V248" s="11">
        <f t="shared" si="19"/>
        <v>0</v>
      </c>
    </row>
    <row r="249" spans="1:22" x14ac:dyDescent="0.25">
      <c r="A249" s="3">
        <f>'Raw Data'!A249</f>
        <v>100248</v>
      </c>
      <c r="B249" s="4">
        <f>'Raw Data'!B249</f>
        <v>46225</v>
      </c>
      <c r="C249" s="3" t="str">
        <f>'Raw Data'!C249</f>
        <v>LG-01</v>
      </c>
      <c r="D249" s="3" t="str">
        <f>PROPER(TRIM('Raw Data'!D249))</f>
        <v>Lagos</v>
      </c>
      <c r="E249" s="3" t="str">
        <f>'Raw Data'!E249</f>
        <v>In-store</v>
      </c>
      <c r="F249" s="3" t="str">
        <f>IF(PROPER(TRIM('Raw Data'!F249))="Accessory","Accessories",PROPER(TRIM('Raw Data'!F249)))</f>
        <v>Accessories</v>
      </c>
      <c r="G249" s="3" t="str">
        <f>'Raw Data'!G249</f>
        <v>USB Cable</v>
      </c>
      <c r="H249" s="3" t="str">
        <f>'Raw Data'!H249</f>
        <v>C1049</v>
      </c>
      <c r="I249" s="3" t="str">
        <f>'Raw Data'!I249</f>
        <v>Returning</v>
      </c>
      <c r="J249" s="3">
        <f>'Raw Data'!J249</f>
        <v>1</v>
      </c>
      <c r="K249" s="5">
        <f>'Raw Data'!K249</f>
        <v>6500</v>
      </c>
      <c r="L249" s="6">
        <f>'Raw Data'!L249</f>
        <v>0.05</v>
      </c>
      <c r="M249" s="5">
        <f>'Raw Data'!M249</f>
        <v>6175</v>
      </c>
      <c r="N249" s="5">
        <f t="shared" si="15"/>
        <v>6175</v>
      </c>
      <c r="O249" s="5">
        <f>'Raw Data'!N249</f>
        <v>2200</v>
      </c>
      <c r="P249" s="5">
        <f>IF(ISBLANK('Raw Data'!N249),AVERAGEIFS('Raw Data'!$N$2:$N$433,'Raw Data'!$G$2:$G$433,G249),'Raw Data'!N249)</f>
        <v>2200</v>
      </c>
      <c r="Q249" s="5">
        <f t="shared" si="16"/>
        <v>2200</v>
      </c>
      <c r="R249" s="5">
        <f t="shared" si="17"/>
        <v>3975</v>
      </c>
      <c r="S249" s="3" t="str">
        <f>'Raw Data'!O249</f>
        <v>No</v>
      </c>
      <c r="T249" s="3" t="str">
        <f>'Raw Data'!P249</f>
        <v>Ibrahim</v>
      </c>
      <c r="U249" s="3" t="str">
        <f t="shared" si="18"/>
        <v>July</v>
      </c>
      <c r="V249" s="11">
        <f t="shared" si="19"/>
        <v>0</v>
      </c>
    </row>
    <row r="250" spans="1:22" x14ac:dyDescent="0.25">
      <c r="A250" s="3">
        <f>'Raw Data'!A250</f>
        <v>100249</v>
      </c>
      <c r="B250" s="4">
        <f>'Raw Data'!B250</f>
        <v>46116</v>
      </c>
      <c r="C250" s="3" t="str">
        <f>'Raw Data'!C250</f>
        <v>KN-01</v>
      </c>
      <c r="D250" s="3" t="str">
        <f>PROPER(TRIM('Raw Data'!D250))</f>
        <v>Kano</v>
      </c>
      <c r="E250" s="3" t="str">
        <f>'Raw Data'!E250</f>
        <v>Online</v>
      </c>
      <c r="F250" s="3" t="str">
        <f>IF(PROPER(TRIM('Raw Data'!F250))="Accessory","Accessories",PROPER(TRIM('Raw Data'!F250)))</f>
        <v>Home</v>
      </c>
      <c r="G250" s="3" t="str">
        <f>'Raw Data'!G250</f>
        <v>Blender</v>
      </c>
      <c r="H250" s="3" t="str">
        <f>'Raw Data'!H250</f>
        <v>C1027</v>
      </c>
      <c r="I250" s="3" t="str">
        <f>'Raw Data'!I250</f>
        <v>New</v>
      </c>
      <c r="J250" s="3">
        <f>'Raw Data'!J250</f>
        <v>2</v>
      </c>
      <c r="K250" s="5">
        <f>'Raw Data'!K250</f>
        <v>42000</v>
      </c>
      <c r="L250" s="6">
        <f>'Raw Data'!L250</f>
        <v>0.1</v>
      </c>
      <c r="M250" s="5">
        <f>'Raw Data'!M250</f>
        <v>75600</v>
      </c>
      <c r="N250" s="5">
        <f t="shared" si="15"/>
        <v>75600</v>
      </c>
      <c r="O250" s="5">
        <f>'Raw Data'!N250</f>
        <v>28000</v>
      </c>
      <c r="P250" s="5">
        <f>IF(ISBLANK('Raw Data'!N250),AVERAGEIFS('Raw Data'!$N$2:$N$433,'Raw Data'!$G$2:$G$433,G250),'Raw Data'!N250)</f>
        <v>28000</v>
      </c>
      <c r="Q250" s="5">
        <f t="shared" si="16"/>
        <v>56000</v>
      </c>
      <c r="R250" s="5">
        <f t="shared" si="17"/>
        <v>19600</v>
      </c>
      <c r="S250" s="3" t="str">
        <f>'Raw Data'!O250</f>
        <v>No</v>
      </c>
      <c r="T250" s="3" t="str">
        <f>'Raw Data'!P250</f>
        <v>Bola</v>
      </c>
      <c r="U250" s="3" t="str">
        <f t="shared" si="18"/>
        <v>April</v>
      </c>
      <c r="V250" s="11">
        <f t="shared" si="19"/>
        <v>0</v>
      </c>
    </row>
    <row r="251" spans="1:22" x14ac:dyDescent="0.25">
      <c r="A251" s="3">
        <f>'Raw Data'!A251</f>
        <v>100250</v>
      </c>
      <c r="B251" s="4">
        <f>'Raw Data'!B251</f>
        <v>46140</v>
      </c>
      <c r="C251" s="3" t="str">
        <f>'Raw Data'!C251</f>
        <v>IB-01</v>
      </c>
      <c r="D251" s="3" t="str">
        <f>PROPER(TRIM('Raw Data'!D251))</f>
        <v>Ibadan</v>
      </c>
      <c r="E251" s="3" t="str">
        <f>'Raw Data'!E251</f>
        <v>In-store</v>
      </c>
      <c r="F251" s="3" t="str">
        <f>IF(PROPER(TRIM('Raw Data'!F251))="Accessory","Accessories",PROPER(TRIM('Raw Data'!F251)))</f>
        <v>Electronics</v>
      </c>
      <c r="G251" s="3" t="str">
        <f>'Raw Data'!G251</f>
        <v>Smartphone</v>
      </c>
      <c r="H251" s="3" t="str">
        <f>'Raw Data'!H251</f>
        <v>C1025</v>
      </c>
      <c r="I251" s="3" t="str">
        <f>'Raw Data'!I251</f>
        <v>New</v>
      </c>
      <c r="J251" s="3">
        <f>'Raw Data'!J251</f>
        <v>4</v>
      </c>
      <c r="K251" s="5">
        <f>'Raw Data'!K251</f>
        <v>165000</v>
      </c>
      <c r="L251" s="6">
        <f>'Raw Data'!L251</f>
        <v>0</v>
      </c>
      <c r="M251" s="5">
        <f>'Raw Data'!M251</f>
        <v>660000</v>
      </c>
      <c r="N251" s="5">
        <f t="shared" si="15"/>
        <v>660000</v>
      </c>
      <c r="O251" s="5">
        <f>'Raw Data'!N251</f>
        <v>112000</v>
      </c>
      <c r="P251" s="5">
        <f>IF(ISBLANK('Raw Data'!N251),AVERAGEIFS('Raw Data'!$N$2:$N$433,'Raw Data'!$G$2:$G$433,G251),'Raw Data'!N251)</f>
        <v>112000</v>
      </c>
      <c r="Q251" s="5">
        <f t="shared" si="16"/>
        <v>448000</v>
      </c>
      <c r="R251" s="5">
        <f t="shared" si="17"/>
        <v>212000</v>
      </c>
      <c r="S251" s="3" t="str">
        <f>'Raw Data'!O251</f>
        <v>No</v>
      </c>
      <c r="T251" s="3" t="str">
        <f>'Raw Data'!P251</f>
        <v>Bola</v>
      </c>
      <c r="U251" s="3" t="str">
        <f t="shared" si="18"/>
        <v>April</v>
      </c>
      <c r="V251" s="11">
        <f t="shared" si="19"/>
        <v>0</v>
      </c>
    </row>
    <row r="252" spans="1:22" x14ac:dyDescent="0.25">
      <c r="A252" s="3">
        <f>'Raw Data'!A252</f>
        <v>100251</v>
      </c>
      <c r="B252" s="4">
        <f>'Raw Data'!B252</f>
        <v>46226</v>
      </c>
      <c r="C252" s="3" t="str">
        <f>'Raw Data'!C252</f>
        <v>LG-01</v>
      </c>
      <c r="D252" s="3" t="str">
        <f>PROPER(TRIM('Raw Data'!D252))</f>
        <v>Lagos</v>
      </c>
      <c r="E252" s="3" t="str">
        <f>'Raw Data'!E252</f>
        <v>In-store</v>
      </c>
      <c r="F252" s="3" t="str">
        <f>IF(PROPER(TRIM('Raw Data'!F252))="Accessory","Accessories",PROPER(TRIM('Raw Data'!F252)))</f>
        <v>Home</v>
      </c>
      <c r="G252" s="3" t="str">
        <f>'Raw Data'!G252</f>
        <v>Blender</v>
      </c>
      <c r="H252" s="3" t="str">
        <f>'Raw Data'!H252</f>
        <v>C1147</v>
      </c>
      <c r="I252" s="3" t="str">
        <f>'Raw Data'!I252</f>
        <v>Returning</v>
      </c>
      <c r="J252" s="3">
        <f>'Raw Data'!J252</f>
        <v>2</v>
      </c>
      <c r="K252" s="5">
        <f>'Raw Data'!K252</f>
        <v>42000</v>
      </c>
      <c r="L252" s="6">
        <f>'Raw Data'!L252</f>
        <v>0</v>
      </c>
      <c r="M252" s="5">
        <f>'Raw Data'!M252</f>
        <v>84000</v>
      </c>
      <c r="N252" s="5">
        <f t="shared" si="15"/>
        <v>84000</v>
      </c>
      <c r="O252" s="5">
        <f>'Raw Data'!N252</f>
        <v>28000</v>
      </c>
      <c r="P252" s="5">
        <f>IF(ISBLANK('Raw Data'!N252),AVERAGEIFS('Raw Data'!$N$2:$N$433,'Raw Data'!$G$2:$G$433,G252),'Raw Data'!N252)</f>
        <v>28000</v>
      </c>
      <c r="Q252" s="5">
        <f t="shared" si="16"/>
        <v>56000</v>
      </c>
      <c r="R252" s="5">
        <f t="shared" si="17"/>
        <v>28000</v>
      </c>
      <c r="S252" s="3" t="str">
        <f>'Raw Data'!O252</f>
        <v>No</v>
      </c>
      <c r="T252" s="3" t="str">
        <f>'Raw Data'!P252</f>
        <v>Bola</v>
      </c>
      <c r="U252" s="3" t="str">
        <f t="shared" si="18"/>
        <v>July</v>
      </c>
      <c r="V252" s="11">
        <f t="shared" si="19"/>
        <v>0</v>
      </c>
    </row>
    <row r="253" spans="1:22" x14ac:dyDescent="0.25">
      <c r="A253" s="3">
        <f>'Raw Data'!A253</f>
        <v>100252</v>
      </c>
      <c r="B253" s="4">
        <f>'Raw Data'!B253</f>
        <v>46214</v>
      </c>
      <c r="C253" s="3" t="str">
        <f>'Raw Data'!C253</f>
        <v>KN-01</v>
      </c>
      <c r="D253" s="3" t="str">
        <f>PROPER(TRIM('Raw Data'!D253))</f>
        <v>Kano</v>
      </c>
      <c r="E253" s="3" t="str">
        <f>'Raw Data'!E253</f>
        <v>In-store</v>
      </c>
      <c r="F253" s="3" t="str">
        <f>IF(PROPER(TRIM('Raw Data'!F253))="Accessory","Accessories",PROPER(TRIM('Raw Data'!F253)))</f>
        <v>Electronics</v>
      </c>
      <c r="G253" s="3" t="str">
        <f>'Raw Data'!G253</f>
        <v>Power Bank</v>
      </c>
      <c r="H253" s="3" t="str">
        <f>'Raw Data'!H253</f>
        <v>C1117</v>
      </c>
      <c r="I253" s="3" t="str">
        <f>'Raw Data'!I253</f>
        <v>Returning</v>
      </c>
      <c r="J253" s="3">
        <f>'Raw Data'!J253</f>
        <v>2</v>
      </c>
      <c r="K253" s="5">
        <f>'Raw Data'!K253</f>
        <v>26000</v>
      </c>
      <c r="L253" s="6">
        <f>'Raw Data'!L253</f>
        <v>0</v>
      </c>
      <c r="M253" s="5">
        <f>'Raw Data'!M253</f>
        <v>52000</v>
      </c>
      <c r="N253" s="5">
        <f t="shared" si="15"/>
        <v>52000</v>
      </c>
      <c r="O253" s="5">
        <f>'Raw Data'!N253</f>
        <v>15000</v>
      </c>
      <c r="P253" s="5">
        <f>IF(ISBLANK('Raw Data'!N253),AVERAGEIFS('Raw Data'!$N$2:$N$433,'Raw Data'!$G$2:$G$433,G253),'Raw Data'!N253)</f>
        <v>15000</v>
      </c>
      <c r="Q253" s="5">
        <f t="shared" si="16"/>
        <v>30000</v>
      </c>
      <c r="R253" s="5">
        <f t="shared" si="17"/>
        <v>22000</v>
      </c>
      <c r="S253" s="3" t="str">
        <f>'Raw Data'!O253</f>
        <v>No</v>
      </c>
      <c r="T253" s="3" t="str">
        <f>'Raw Data'!P253</f>
        <v>David</v>
      </c>
      <c r="U253" s="3" t="str">
        <f t="shared" si="18"/>
        <v>July</v>
      </c>
      <c r="V253" s="11">
        <f t="shared" si="19"/>
        <v>0</v>
      </c>
    </row>
    <row r="254" spans="1:22" x14ac:dyDescent="0.25">
      <c r="A254" s="3">
        <f>'Raw Data'!A254</f>
        <v>100253</v>
      </c>
      <c r="B254" s="4">
        <f>'Raw Data'!B254</f>
        <v>46024</v>
      </c>
      <c r="C254" s="3" t="str">
        <f>'Raw Data'!C254</f>
        <v>PH-01</v>
      </c>
      <c r="D254" s="3" t="str">
        <f>PROPER(TRIM('Raw Data'!D254))</f>
        <v>Port Harcourt</v>
      </c>
      <c r="E254" s="3" t="str">
        <f>'Raw Data'!E254</f>
        <v>WhatsApp</v>
      </c>
      <c r="F254" s="3" t="str">
        <f>IF(PROPER(TRIM('Raw Data'!F254))="Accessory","Accessories",PROPER(TRIM('Raw Data'!F254)))</f>
        <v>Home</v>
      </c>
      <c r="G254" s="3" t="str">
        <f>'Raw Data'!G254</f>
        <v>Standing Fan</v>
      </c>
      <c r="H254" s="3" t="str">
        <f>'Raw Data'!H254</f>
        <v>C1021</v>
      </c>
      <c r="I254" s="3" t="str">
        <f>'Raw Data'!I254</f>
        <v>Returning</v>
      </c>
      <c r="J254" s="3">
        <f>'Raw Data'!J254</f>
        <v>2</v>
      </c>
      <c r="K254" s="5">
        <f>'Raw Data'!K254</f>
        <v>58000</v>
      </c>
      <c r="L254" s="6">
        <f>'Raw Data'!L254</f>
        <v>0.05</v>
      </c>
      <c r="M254" s="5">
        <f>'Raw Data'!M254</f>
        <v>110200</v>
      </c>
      <c r="N254" s="5">
        <f t="shared" si="15"/>
        <v>110200</v>
      </c>
      <c r="O254" s="5">
        <f>'Raw Data'!N254</f>
        <v>39000</v>
      </c>
      <c r="P254" s="5">
        <f>IF(ISBLANK('Raw Data'!N254),AVERAGEIFS('Raw Data'!$N$2:$N$433,'Raw Data'!$G$2:$G$433,G254),'Raw Data'!N254)</f>
        <v>39000</v>
      </c>
      <c r="Q254" s="5">
        <f t="shared" si="16"/>
        <v>78000</v>
      </c>
      <c r="R254" s="5">
        <f t="shared" si="17"/>
        <v>32200</v>
      </c>
      <c r="S254" s="3" t="str">
        <f>'Raw Data'!O254</f>
        <v>No</v>
      </c>
      <c r="T254" s="3" t="str">
        <f>'Raw Data'!P254</f>
        <v>Ibrahim</v>
      </c>
      <c r="U254" s="3" t="str">
        <f t="shared" si="18"/>
        <v>January</v>
      </c>
      <c r="V254" s="11">
        <f t="shared" si="19"/>
        <v>0</v>
      </c>
    </row>
    <row r="255" spans="1:22" x14ac:dyDescent="0.25">
      <c r="A255" s="3">
        <f>'Raw Data'!A255</f>
        <v>100254</v>
      </c>
      <c r="B255" s="4">
        <f>'Raw Data'!B255</f>
        <v>46123</v>
      </c>
      <c r="C255" s="3" t="str">
        <f>'Raw Data'!C255</f>
        <v>KN-01</v>
      </c>
      <c r="D255" s="3" t="str">
        <f>PROPER(TRIM('Raw Data'!D255))</f>
        <v>Kano</v>
      </c>
      <c r="E255" s="3" t="str">
        <f>'Raw Data'!E255</f>
        <v>Online</v>
      </c>
      <c r="F255" s="3" t="str">
        <f>IF(PROPER(TRIM('Raw Data'!F255))="Accessory","Accessories",PROPER(TRIM('Raw Data'!F255)))</f>
        <v>Home</v>
      </c>
      <c r="G255" s="3" t="str">
        <f>'Raw Data'!G255</f>
        <v>Standing Fan</v>
      </c>
      <c r="H255" s="3" t="str">
        <f>'Raw Data'!H255</f>
        <v>C1193</v>
      </c>
      <c r="I255" s="3" t="str">
        <f>'Raw Data'!I255</f>
        <v>Returning</v>
      </c>
      <c r="J255" s="3">
        <f>'Raw Data'!J255</f>
        <v>2</v>
      </c>
      <c r="K255" s="5">
        <f>'Raw Data'!K255</f>
        <v>58000</v>
      </c>
      <c r="L255" s="6">
        <f>'Raw Data'!L255</f>
        <v>0.1</v>
      </c>
      <c r="M255" s="5">
        <f>'Raw Data'!M255</f>
        <v>104400</v>
      </c>
      <c r="N255" s="5">
        <f t="shared" si="15"/>
        <v>104400</v>
      </c>
      <c r="O255" s="5">
        <f>'Raw Data'!N255</f>
        <v>39000</v>
      </c>
      <c r="P255" s="5">
        <f>IF(ISBLANK('Raw Data'!N255),AVERAGEIFS('Raw Data'!$N$2:$N$433,'Raw Data'!$G$2:$G$433,G255),'Raw Data'!N255)</f>
        <v>39000</v>
      </c>
      <c r="Q255" s="5">
        <f t="shared" si="16"/>
        <v>78000</v>
      </c>
      <c r="R255" s="5">
        <f t="shared" si="17"/>
        <v>26400</v>
      </c>
      <c r="S255" s="3" t="str">
        <f>'Raw Data'!O255</f>
        <v>No</v>
      </c>
      <c r="T255" s="3" t="str">
        <f>'Raw Data'!P255</f>
        <v>Grace</v>
      </c>
      <c r="U255" s="3" t="str">
        <f t="shared" si="18"/>
        <v>April</v>
      </c>
      <c r="V255" s="11">
        <f t="shared" si="19"/>
        <v>0</v>
      </c>
    </row>
    <row r="256" spans="1:22" x14ac:dyDescent="0.25">
      <c r="A256" s="3">
        <f>'Raw Data'!A256</f>
        <v>100255</v>
      </c>
      <c r="B256" s="4">
        <f>'Raw Data'!B256</f>
        <v>46147</v>
      </c>
      <c r="C256" s="3" t="str">
        <f>'Raw Data'!C256</f>
        <v>LG-02</v>
      </c>
      <c r="D256" s="3" t="str">
        <f>PROPER(TRIM('Raw Data'!D256))</f>
        <v>Lagos</v>
      </c>
      <c r="E256" s="3" t="str">
        <f>'Raw Data'!E256</f>
        <v>Online</v>
      </c>
      <c r="F256" s="3" t="str">
        <f>IF(PROPER(TRIM('Raw Data'!F256))="Accessory","Accessories",PROPER(TRIM('Raw Data'!F256)))</f>
        <v>Home</v>
      </c>
      <c r="G256" s="3" t="str">
        <f>'Raw Data'!G256</f>
        <v>Electric Kettle</v>
      </c>
      <c r="H256" s="3" t="str">
        <f>'Raw Data'!H256</f>
        <v>C1127</v>
      </c>
      <c r="I256" s="3" t="str">
        <f>'Raw Data'!I256</f>
        <v>New</v>
      </c>
      <c r="J256" s="3">
        <f>'Raw Data'!J256</f>
        <v>5</v>
      </c>
      <c r="K256" s="5">
        <f>'Raw Data'!K256</f>
        <v>24000</v>
      </c>
      <c r="L256" s="6">
        <f>'Raw Data'!L256</f>
        <v>0.15</v>
      </c>
      <c r="M256" s="5">
        <f>'Raw Data'!M256</f>
        <v>102000</v>
      </c>
      <c r="N256" s="5">
        <f t="shared" si="15"/>
        <v>102000</v>
      </c>
      <c r="O256" s="5">
        <f>'Raw Data'!N256</f>
        <v>15000</v>
      </c>
      <c r="P256" s="5">
        <f>IF(ISBLANK('Raw Data'!N256),AVERAGEIFS('Raw Data'!$N$2:$N$433,'Raw Data'!$G$2:$G$433,G256),'Raw Data'!N256)</f>
        <v>15000</v>
      </c>
      <c r="Q256" s="5">
        <f t="shared" si="16"/>
        <v>75000</v>
      </c>
      <c r="R256" s="5">
        <f t="shared" si="17"/>
        <v>27000</v>
      </c>
      <c r="S256" s="3" t="str">
        <f>'Raw Data'!O256</f>
        <v>Yes</v>
      </c>
      <c r="T256" s="3" t="str">
        <f>'Raw Data'!P256</f>
        <v>Kemi</v>
      </c>
      <c r="U256" s="3" t="str">
        <f t="shared" si="18"/>
        <v>May</v>
      </c>
      <c r="V256" s="11">
        <f t="shared" si="19"/>
        <v>1</v>
      </c>
    </row>
    <row r="257" spans="1:22" x14ac:dyDescent="0.25">
      <c r="A257" s="3">
        <f>'Raw Data'!A257</f>
        <v>100256</v>
      </c>
      <c r="B257" s="4">
        <f>'Raw Data'!B257</f>
        <v>46226</v>
      </c>
      <c r="C257" s="3" t="str">
        <f>'Raw Data'!C257</f>
        <v>KN-01</v>
      </c>
      <c r="D257" s="3" t="str">
        <f>PROPER(TRIM('Raw Data'!D257))</f>
        <v>Kano</v>
      </c>
      <c r="E257" s="3" t="str">
        <f>'Raw Data'!E257</f>
        <v>In-store</v>
      </c>
      <c r="F257" s="3" t="str">
        <f>IF(PROPER(TRIM('Raw Data'!F257))="Accessory","Accessories",PROPER(TRIM('Raw Data'!F257)))</f>
        <v>Accessories</v>
      </c>
      <c r="G257" s="3" t="str">
        <f>'Raw Data'!G257</f>
        <v>USB Cable</v>
      </c>
      <c r="H257" s="3" t="str">
        <f>'Raw Data'!H257</f>
        <v>C1050</v>
      </c>
      <c r="I257" s="3" t="str">
        <f>'Raw Data'!I257</f>
        <v>New</v>
      </c>
      <c r="J257" s="3">
        <f>'Raw Data'!J257</f>
        <v>1</v>
      </c>
      <c r="K257" s="5">
        <f>'Raw Data'!K257</f>
        <v>6500</v>
      </c>
      <c r="L257" s="6">
        <f>'Raw Data'!L257</f>
        <v>0.05</v>
      </c>
      <c r="M257" s="5">
        <f>'Raw Data'!M257</f>
        <v>6175</v>
      </c>
      <c r="N257" s="5">
        <f t="shared" si="15"/>
        <v>6175</v>
      </c>
      <c r="O257" s="5">
        <f>'Raw Data'!N257</f>
        <v>2200</v>
      </c>
      <c r="P257" s="5">
        <f>IF(ISBLANK('Raw Data'!N257),AVERAGEIFS('Raw Data'!$N$2:$N$433,'Raw Data'!$G$2:$G$433,G257),'Raw Data'!N257)</f>
        <v>2200</v>
      </c>
      <c r="Q257" s="5">
        <f t="shared" si="16"/>
        <v>2200</v>
      </c>
      <c r="R257" s="5">
        <f t="shared" si="17"/>
        <v>3975</v>
      </c>
      <c r="S257" s="3" t="str">
        <f>'Raw Data'!O257</f>
        <v>No</v>
      </c>
      <c r="T257" s="3" t="str">
        <f>'Raw Data'!P257</f>
        <v>Aisha</v>
      </c>
      <c r="U257" s="3" t="str">
        <f t="shared" si="18"/>
        <v>July</v>
      </c>
      <c r="V257" s="11">
        <f t="shared" si="19"/>
        <v>0</v>
      </c>
    </row>
    <row r="258" spans="1:22" x14ac:dyDescent="0.25">
      <c r="A258" s="3">
        <f>'Raw Data'!A258</f>
        <v>100257</v>
      </c>
      <c r="B258" s="4">
        <f>'Raw Data'!B258</f>
        <v>46085</v>
      </c>
      <c r="C258" s="3" t="str">
        <f>'Raw Data'!C258</f>
        <v>LG-01</v>
      </c>
      <c r="D258" s="3" t="str">
        <f>PROPER(TRIM('Raw Data'!D258))</f>
        <v>Lagos</v>
      </c>
      <c r="E258" s="3" t="str">
        <f>'Raw Data'!E258</f>
        <v>Online</v>
      </c>
      <c r="F258" s="3" t="str">
        <f>IF(PROPER(TRIM('Raw Data'!F258))="Accessory","Accessories",PROPER(TRIM('Raw Data'!F258)))</f>
        <v>Home</v>
      </c>
      <c r="G258" s="3" t="str">
        <f>'Raw Data'!G258</f>
        <v>Standing Fan</v>
      </c>
      <c r="H258" s="3" t="str">
        <f>'Raw Data'!H258</f>
        <v>C1149</v>
      </c>
      <c r="I258" s="3" t="str">
        <f>'Raw Data'!I258</f>
        <v>Returning</v>
      </c>
      <c r="J258" s="3">
        <f>'Raw Data'!J258</f>
        <v>1</v>
      </c>
      <c r="K258" s="5">
        <f>'Raw Data'!K258</f>
        <v>58000</v>
      </c>
      <c r="L258" s="6">
        <f>'Raw Data'!L258</f>
        <v>0.05</v>
      </c>
      <c r="M258" s="5">
        <f>'Raw Data'!M258</f>
        <v>55100</v>
      </c>
      <c r="N258" s="5">
        <f t="shared" ref="N258:N321" si="20">J258*K258*(1-L258)</f>
        <v>55100</v>
      </c>
      <c r="O258" s="5">
        <f>'Raw Data'!N258</f>
        <v>39000</v>
      </c>
      <c r="P258" s="5">
        <f>IF(ISBLANK('Raw Data'!N258),AVERAGEIFS('Raw Data'!$N$2:$N$433,'Raw Data'!$G$2:$G$433,G258),'Raw Data'!N258)</f>
        <v>39000</v>
      </c>
      <c r="Q258" s="5">
        <f t="shared" ref="Q258:Q321" si="21">J258*P258</f>
        <v>39000</v>
      </c>
      <c r="R258" s="5">
        <f t="shared" ref="R258:R321" si="22">N258-Q258</f>
        <v>16100</v>
      </c>
      <c r="S258" s="3" t="str">
        <f>'Raw Data'!O258</f>
        <v>No</v>
      </c>
      <c r="T258" s="3" t="str">
        <f>'Raw Data'!P258</f>
        <v>Bola</v>
      </c>
      <c r="U258" s="3" t="str">
        <f t="shared" ref="U258:U321" si="23">TEXT(B258,"mmmm")</f>
        <v>March</v>
      </c>
      <c r="V258" s="11">
        <f t="shared" si="19"/>
        <v>0</v>
      </c>
    </row>
    <row r="259" spans="1:22" x14ac:dyDescent="0.25">
      <c r="A259" s="3">
        <f>'Raw Data'!A259</f>
        <v>100258</v>
      </c>
      <c r="B259" s="4">
        <f>'Raw Data'!B259</f>
        <v>46204</v>
      </c>
      <c r="C259" s="3" t="str">
        <f>'Raw Data'!C259</f>
        <v>PH-01</v>
      </c>
      <c r="D259" s="3" t="str">
        <f>PROPER(TRIM('Raw Data'!D259))</f>
        <v>Port Harcourt</v>
      </c>
      <c r="E259" s="3" t="str">
        <f>'Raw Data'!E259</f>
        <v>WhatsApp</v>
      </c>
      <c r="F259" s="3" t="str">
        <f>IF(PROPER(TRIM('Raw Data'!F259))="Accessory","Accessories",PROPER(TRIM('Raw Data'!F259)))</f>
        <v>Home</v>
      </c>
      <c r="G259" s="3" t="str">
        <f>'Raw Data'!G259</f>
        <v>Blender</v>
      </c>
      <c r="H259" s="3" t="str">
        <f>'Raw Data'!H259</f>
        <v>C1155</v>
      </c>
      <c r="I259" s="3" t="str">
        <f>'Raw Data'!I259</f>
        <v>New</v>
      </c>
      <c r="J259" s="3">
        <f>'Raw Data'!J259</f>
        <v>4</v>
      </c>
      <c r="K259" s="5">
        <f>'Raw Data'!K259</f>
        <v>42000</v>
      </c>
      <c r="L259" s="6">
        <f>'Raw Data'!L259</f>
        <v>0.15</v>
      </c>
      <c r="M259" s="5">
        <f>'Raw Data'!M259</f>
        <v>142800</v>
      </c>
      <c r="N259" s="5">
        <f t="shared" si="20"/>
        <v>142800</v>
      </c>
      <c r="O259" s="5">
        <f>'Raw Data'!N259</f>
        <v>28000</v>
      </c>
      <c r="P259" s="5">
        <f>IF(ISBLANK('Raw Data'!N259),AVERAGEIFS('Raw Data'!$N$2:$N$433,'Raw Data'!$G$2:$G$433,G259),'Raw Data'!N259)</f>
        <v>28000</v>
      </c>
      <c r="Q259" s="5">
        <f t="shared" si="21"/>
        <v>112000</v>
      </c>
      <c r="R259" s="5">
        <f t="shared" si="22"/>
        <v>30800</v>
      </c>
      <c r="S259" s="3" t="str">
        <f>'Raw Data'!O259</f>
        <v>No</v>
      </c>
      <c r="T259" s="3" t="str">
        <f>'Raw Data'!P259</f>
        <v>Aisha</v>
      </c>
      <c r="U259" s="3" t="str">
        <f t="shared" si="23"/>
        <v>July</v>
      </c>
      <c r="V259" s="11">
        <f t="shared" ref="V259:V322" si="24">IF(S259="No",0,1)</f>
        <v>0</v>
      </c>
    </row>
    <row r="260" spans="1:22" x14ac:dyDescent="0.25">
      <c r="A260" s="3">
        <f>'Raw Data'!A260</f>
        <v>100259</v>
      </c>
      <c r="B260" s="4">
        <f>'Raw Data'!B260</f>
        <v>46226</v>
      </c>
      <c r="C260" s="3" t="str">
        <f>'Raw Data'!C260</f>
        <v>AB-01</v>
      </c>
      <c r="D260" s="3" t="str">
        <f>PROPER(TRIM('Raw Data'!D260))</f>
        <v>Abuja</v>
      </c>
      <c r="E260" s="3" t="str">
        <f>'Raw Data'!E260</f>
        <v>In-store</v>
      </c>
      <c r="F260" s="3" t="str">
        <f>IF(PROPER(TRIM('Raw Data'!F260))="Accessory","Accessories",PROPER(TRIM('Raw Data'!F260)))</f>
        <v>Electronics</v>
      </c>
      <c r="G260" s="3" t="str">
        <f>'Raw Data'!G260</f>
        <v>Smartphone</v>
      </c>
      <c r="H260" s="3" t="str">
        <f>'Raw Data'!H260</f>
        <v>C1033</v>
      </c>
      <c r="I260" s="3" t="str">
        <f>'Raw Data'!I260</f>
        <v>Returning</v>
      </c>
      <c r="J260" s="3">
        <f>'Raw Data'!J260</f>
        <v>1</v>
      </c>
      <c r="K260" s="5">
        <f>'Raw Data'!K260</f>
        <v>165000</v>
      </c>
      <c r="L260" s="6">
        <f>'Raw Data'!L260</f>
        <v>0.25</v>
      </c>
      <c r="M260" s="5">
        <f>'Raw Data'!M260</f>
        <v>136125</v>
      </c>
      <c r="N260" s="5">
        <f t="shared" si="20"/>
        <v>123750</v>
      </c>
      <c r="O260" s="5">
        <f>'Raw Data'!N260</f>
        <v>112000</v>
      </c>
      <c r="P260" s="5">
        <f>IF(ISBLANK('Raw Data'!N260),AVERAGEIFS('Raw Data'!$N$2:$N$433,'Raw Data'!$G$2:$G$433,G260),'Raw Data'!N260)</f>
        <v>112000</v>
      </c>
      <c r="Q260" s="5">
        <f t="shared" si="21"/>
        <v>112000</v>
      </c>
      <c r="R260" s="5">
        <f t="shared" si="22"/>
        <v>11750</v>
      </c>
      <c r="S260" s="3" t="str">
        <f>'Raw Data'!O260</f>
        <v>Yes</v>
      </c>
      <c r="T260" s="3" t="str">
        <f>'Raw Data'!P260</f>
        <v>Grace</v>
      </c>
      <c r="U260" s="3" t="str">
        <f t="shared" si="23"/>
        <v>July</v>
      </c>
      <c r="V260" s="11">
        <f t="shared" si="24"/>
        <v>1</v>
      </c>
    </row>
    <row r="261" spans="1:22" x14ac:dyDescent="0.25">
      <c r="A261" s="3">
        <f>'Raw Data'!A261</f>
        <v>100260</v>
      </c>
      <c r="B261" s="4">
        <f>'Raw Data'!B261</f>
        <v>46126</v>
      </c>
      <c r="C261" s="3" t="str">
        <f>'Raw Data'!C261</f>
        <v>PH-01</v>
      </c>
      <c r="D261" s="3" t="str">
        <f>PROPER(TRIM('Raw Data'!D261))</f>
        <v>Port Harcourt</v>
      </c>
      <c r="E261" s="3" t="str">
        <f>'Raw Data'!E261</f>
        <v>WhatsApp</v>
      </c>
      <c r="F261" s="3" t="str">
        <f>IF(PROPER(TRIM('Raw Data'!F261))="Accessory","Accessories",PROPER(TRIM('Raw Data'!F261)))</f>
        <v>Electronics</v>
      </c>
      <c r="G261" s="3" t="str">
        <f>'Raw Data'!G261</f>
        <v>Earbuds</v>
      </c>
      <c r="H261" s="3" t="str">
        <f>'Raw Data'!H261</f>
        <v>C1190</v>
      </c>
      <c r="I261" s="3" t="str">
        <f>'Raw Data'!I261</f>
        <v>Returning</v>
      </c>
      <c r="J261" s="3">
        <f>'Raw Data'!J261</f>
        <v>2</v>
      </c>
      <c r="K261" s="5">
        <f>'Raw Data'!K261</f>
        <v>32000</v>
      </c>
      <c r="L261" s="6">
        <f>'Raw Data'!L261</f>
        <v>0.15</v>
      </c>
      <c r="M261" s="5">
        <f>'Raw Data'!M261</f>
        <v>54400</v>
      </c>
      <c r="N261" s="5">
        <f t="shared" si="20"/>
        <v>54400</v>
      </c>
      <c r="O261" s="5">
        <f>'Raw Data'!N261</f>
        <v>19000</v>
      </c>
      <c r="P261" s="5">
        <f>IF(ISBLANK('Raw Data'!N261),AVERAGEIFS('Raw Data'!$N$2:$N$433,'Raw Data'!$G$2:$G$433,G261),'Raw Data'!N261)</f>
        <v>19000</v>
      </c>
      <c r="Q261" s="5">
        <f t="shared" si="21"/>
        <v>38000</v>
      </c>
      <c r="R261" s="5">
        <f t="shared" si="22"/>
        <v>16400</v>
      </c>
      <c r="S261" s="3" t="str">
        <f>'Raw Data'!O261</f>
        <v>No</v>
      </c>
      <c r="T261" s="3" t="str">
        <f>'Raw Data'!P261</f>
        <v>Ibrahim</v>
      </c>
      <c r="U261" s="3" t="str">
        <f t="shared" si="23"/>
        <v>April</v>
      </c>
      <c r="V261" s="11">
        <f t="shared" si="24"/>
        <v>0</v>
      </c>
    </row>
    <row r="262" spans="1:22" x14ac:dyDescent="0.25">
      <c r="A262" s="3">
        <f>'Raw Data'!A262</f>
        <v>100261</v>
      </c>
      <c r="B262" s="4">
        <f>'Raw Data'!B262</f>
        <v>46087</v>
      </c>
      <c r="C262" s="3" t="str">
        <f>'Raw Data'!C262</f>
        <v>AB-02</v>
      </c>
      <c r="D262" s="3" t="str">
        <f>PROPER(TRIM('Raw Data'!D262))</f>
        <v>Abuja</v>
      </c>
      <c r="E262" s="3" t="str">
        <f>'Raw Data'!E262</f>
        <v>In-store</v>
      </c>
      <c r="F262" s="3" t="str">
        <f>IF(PROPER(TRIM('Raw Data'!F262))="Accessory","Accessories",PROPER(TRIM('Raw Data'!F262)))</f>
        <v>Electronics</v>
      </c>
      <c r="G262" s="3" t="str">
        <f>'Raw Data'!G262</f>
        <v>Power Bank</v>
      </c>
      <c r="H262" s="3" t="str">
        <f>'Raw Data'!H262</f>
        <v>C1146</v>
      </c>
      <c r="I262" s="3" t="str">
        <f>'Raw Data'!I262</f>
        <v>New</v>
      </c>
      <c r="J262" s="3">
        <f>'Raw Data'!J262</f>
        <v>4</v>
      </c>
      <c r="K262" s="5">
        <f>'Raw Data'!K262</f>
        <v>26000</v>
      </c>
      <c r="L262" s="6">
        <f>'Raw Data'!L262</f>
        <v>0</v>
      </c>
      <c r="M262" s="5">
        <f>'Raw Data'!M262</f>
        <v>104000</v>
      </c>
      <c r="N262" s="5">
        <f t="shared" si="20"/>
        <v>104000</v>
      </c>
      <c r="O262" s="5">
        <f>'Raw Data'!N262</f>
        <v>15000</v>
      </c>
      <c r="P262" s="5">
        <f>IF(ISBLANK('Raw Data'!N262),AVERAGEIFS('Raw Data'!$N$2:$N$433,'Raw Data'!$G$2:$G$433,G262),'Raw Data'!N262)</f>
        <v>15000</v>
      </c>
      <c r="Q262" s="5">
        <f t="shared" si="21"/>
        <v>60000</v>
      </c>
      <c r="R262" s="5">
        <f t="shared" si="22"/>
        <v>44000</v>
      </c>
      <c r="S262" s="3" t="str">
        <f>'Raw Data'!O262</f>
        <v>No</v>
      </c>
      <c r="T262" s="3" t="str">
        <f>'Raw Data'!P262</f>
        <v>Chinedu</v>
      </c>
      <c r="U262" s="3" t="str">
        <f t="shared" si="23"/>
        <v>March</v>
      </c>
      <c r="V262" s="11">
        <f t="shared" si="24"/>
        <v>0</v>
      </c>
    </row>
    <row r="263" spans="1:22" x14ac:dyDescent="0.25">
      <c r="A263" s="3">
        <f>'Raw Data'!A263</f>
        <v>100262</v>
      </c>
      <c r="B263" s="4">
        <f>'Raw Data'!B263</f>
        <v>46063</v>
      </c>
      <c r="C263" s="3" t="str">
        <f>'Raw Data'!C263</f>
        <v>IB-01</v>
      </c>
      <c r="D263" s="3" t="str">
        <f>PROPER(TRIM('Raw Data'!D263))</f>
        <v>Ibadan</v>
      </c>
      <c r="E263" s="3" t="str">
        <f>'Raw Data'!E263</f>
        <v>Online</v>
      </c>
      <c r="F263" s="3" t="str">
        <f>IF(PROPER(TRIM('Raw Data'!F263))="Accessory","Accessories",PROPER(TRIM('Raw Data'!F263)))</f>
        <v>Home</v>
      </c>
      <c r="G263" s="3" t="str">
        <f>'Raw Data'!G263</f>
        <v>Electric Kettle</v>
      </c>
      <c r="H263" s="3" t="str">
        <f>'Raw Data'!H263</f>
        <v>C1044</v>
      </c>
      <c r="I263" s="3" t="str">
        <f>'Raw Data'!I263</f>
        <v>New</v>
      </c>
      <c r="J263" s="3">
        <f>'Raw Data'!J263</f>
        <v>4</v>
      </c>
      <c r="K263" s="5">
        <f>'Raw Data'!K263</f>
        <v>24000</v>
      </c>
      <c r="L263" s="6">
        <f>'Raw Data'!L263</f>
        <v>0.05</v>
      </c>
      <c r="M263" s="5">
        <f>'Raw Data'!M263</f>
        <v>91200</v>
      </c>
      <c r="N263" s="5">
        <f t="shared" si="20"/>
        <v>91200</v>
      </c>
      <c r="O263" s="5">
        <f>'Raw Data'!N263</f>
        <v>15000</v>
      </c>
      <c r="P263" s="5">
        <f>IF(ISBLANK('Raw Data'!N263),AVERAGEIFS('Raw Data'!$N$2:$N$433,'Raw Data'!$G$2:$G$433,G263),'Raw Data'!N263)</f>
        <v>15000</v>
      </c>
      <c r="Q263" s="5">
        <f t="shared" si="21"/>
        <v>60000</v>
      </c>
      <c r="R263" s="5">
        <f t="shared" si="22"/>
        <v>31200</v>
      </c>
      <c r="S263" s="3" t="str">
        <f>'Raw Data'!O263</f>
        <v>No</v>
      </c>
      <c r="T263" s="3" t="str">
        <f>'Raw Data'!P263</f>
        <v>Bola</v>
      </c>
      <c r="U263" s="3" t="str">
        <f t="shared" si="23"/>
        <v>February</v>
      </c>
      <c r="V263" s="11">
        <f t="shared" si="24"/>
        <v>0</v>
      </c>
    </row>
    <row r="264" spans="1:22" x14ac:dyDescent="0.25">
      <c r="A264" s="3">
        <f>'Raw Data'!A264</f>
        <v>100263</v>
      </c>
      <c r="B264" s="4">
        <f>'Raw Data'!B264</f>
        <v>46044</v>
      </c>
      <c r="C264" s="3" t="str">
        <f>'Raw Data'!C264</f>
        <v>AB-02</v>
      </c>
      <c r="D264" s="3" t="str">
        <f>PROPER(TRIM('Raw Data'!D264))</f>
        <v>Abuja</v>
      </c>
      <c r="E264" s="3" t="str">
        <f>'Raw Data'!E264</f>
        <v>In-store</v>
      </c>
      <c r="F264" s="3" t="str">
        <f>IF(PROPER(TRIM('Raw Data'!F264))="Accessory","Accessories",PROPER(TRIM('Raw Data'!F264)))</f>
        <v>Accessories</v>
      </c>
      <c r="G264" s="3" t="str">
        <f>'Raw Data'!G264</f>
        <v>Phone Case</v>
      </c>
      <c r="H264" s="3" t="str">
        <f>'Raw Data'!H264</f>
        <v>C1032</v>
      </c>
      <c r="I264" s="3" t="str">
        <f>'Raw Data'!I264</f>
        <v>New</v>
      </c>
      <c r="J264" s="3">
        <f>'Raw Data'!J264</f>
        <v>5</v>
      </c>
      <c r="K264" s="5">
        <f>'Raw Data'!K264</f>
        <v>9000</v>
      </c>
      <c r="L264" s="6">
        <f>'Raw Data'!L264</f>
        <v>0.25</v>
      </c>
      <c r="M264" s="5">
        <f>'Raw Data'!M264</f>
        <v>33750</v>
      </c>
      <c r="N264" s="5">
        <f t="shared" si="20"/>
        <v>33750</v>
      </c>
      <c r="O264" s="5">
        <f>'Raw Data'!N264</f>
        <v>3500</v>
      </c>
      <c r="P264" s="5">
        <f>IF(ISBLANK('Raw Data'!N264),AVERAGEIFS('Raw Data'!$N$2:$N$433,'Raw Data'!$G$2:$G$433,G264),'Raw Data'!N264)</f>
        <v>3500</v>
      </c>
      <c r="Q264" s="5">
        <f t="shared" si="21"/>
        <v>17500</v>
      </c>
      <c r="R264" s="5">
        <f t="shared" si="22"/>
        <v>16250</v>
      </c>
      <c r="S264" s="3" t="str">
        <f>'Raw Data'!O264</f>
        <v>No</v>
      </c>
      <c r="T264" s="3" t="str">
        <f>'Raw Data'!P264</f>
        <v>David</v>
      </c>
      <c r="U264" s="3" t="str">
        <f t="shared" si="23"/>
        <v>January</v>
      </c>
      <c r="V264" s="11">
        <f t="shared" si="24"/>
        <v>0</v>
      </c>
    </row>
    <row r="265" spans="1:22" x14ac:dyDescent="0.25">
      <c r="A265" s="3">
        <f>'Raw Data'!A265</f>
        <v>100264</v>
      </c>
      <c r="B265" s="4">
        <f>'Raw Data'!B265</f>
        <v>46117</v>
      </c>
      <c r="C265" s="3" t="str">
        <f>'Raw Data'!C265</f>
        <v>KN-01</v>
      </c>
      <c r="D265" s="3" t="str">
        <f>PROPER(TRIM('Raw Data'!D265))</f>
        <v>Kano</v>
      </c>
      <c r="E265" s="3" t="str">
        <f>'Raw Data'!E265</f>
        <v>In-store</v>
      </c>
      <c r="F265" s="3" t="str">
        <f>IF(PROPER(TRIM('Raw Data'!F265))="Accessory","Accessories",PROPER(TRIM('Raw Data'!F265)))</f>
        <v>Home</v>
      </c>
      <c r="G265" s="3" t="str">
        <f>'Raw Data'!G265</f>
        <v>Blender</v>
      </c>
      <c r="H265" s="3" t="str">
        <f>'Raw Data'!H265</f>
        <v>C1058</v>
      </c>
      <c r="I265" s="3" t="str">
        <f>'Raw Data'!I265</f>
        <v>Returning</v>
      </c>
      <c r="J265" s="3">
        <f>'Raw Data'!J265</f>
        <v>1</v>
      </c>
      <c r="K265" s="5">
        <f>'Raw Data'!K265</f>
        <v>42000</v>
      </c>
      <c r="L265" s="6">
        <f>'Raw Data'!L265</f>
        <v>0.05</v>
      </c>
      <c r="M265" s="5">
        <f>'Raw Data'!M265</f>
        <v>39900</v>
      </c>
      <c r="N265" s="5">
        <f t="shared" si="20"/>
        <v>39900</v>
      </c>
      <c r="O265" s="5">
        <f>'Raw Data'!N265</f>
        <v>28000</v>
      </c>
      <c r="P265" s="5">
        <f>IF(ISBLANK('Raw Data'!N265),AVERAGEIFS('Raw Data'!$N$2:$N$433,'Raw Data'!$G$2:$G$433,G265),'Raw Data'!N265)</f>
        <v>28000</v>
      </c>
      <c r="Q265" s="5">
        <f t="shared" si="21"/>
        <v>28000</v>
      </c>
      <c r="R265" s="5">
        <f t="shared" si="22"/>
        <v>11900</v>
      </c>
      <c r="S265" s="3" t="str">
        <f>'Raw Data'!O265</f>
        <v>No</v>
      </c>
      <c r="T265" s="3" t="str">
        <f>'Raw Data'!P265</f>
        <v>David</v>
      </c>
      <c r="U265" s="3" t="str">
        <f t="shared" si="23"/>
        <v>April</v>
      </c>
      <c r="V265" s="11">
        <f t="shared" si="24"/>
        <v>0</v>
      </c>
    </row>
    <row r="266" spans="1:22" x14ac:dyDescent="0.25">
      <c r="A266" s="3">
        <f>'Raw Data'!A266</f>
        <v>100265</v>
      </c>
      <c r="B266" s="4">
        <f>'Raw Data'!B266</f>
        <v>46053</v>
      </c>
      <c r="C266" s="3" t="str">
        <f>'Raw Data'!C266</f>
        <v>PH-01</v>
      </c>
      <c r="D266" s="3" t="str">
        <f>PROPER(TRIM('Raw Data'!D266))</f>
        <v>Port Harcourt</v>
      </c>
      <c r="E266" s="3" t="str">
        <f>'Raw Data'!E266</f>
        <v>In-store</v>
      </c>
      <c r="F266" s="3" t="str">
        <f>IF(PROPER(TRIM('Raw Data'!F266))="Accessory","Accessories",PROPER(TRIM('Raw Data'!F266)))</f>
        <v>Electronics</v>
      </c>
      <c r="G266" s="3" t="str">
        <f>'Raw Data'!G266</f>
        <v>Earbuds</v>
      </c>
      <c r="H266" s="3" t="str">
        <f>'Raw Data'!H266</f>
        <v>C1087</v>
      </c>
      <c r="I266" s="3" t="str">
        <f>'Raw Data'!I266</f>
        <v>Returning</v>
      </c>
      <c r="J266" s="3">
        <f>'Raw Data'!J266</f>
        <v>2</v>
      </c>
      <c r="K266" s="5">
        <f>'Raw Data'!K266</f>
        <v>32000</v>
      </c>
      <c r="L266" s="6">
        <f>'Raw Data'!L266</f>
        <v>0</v>
      </c>
      <c r="M266" s="5">
        <f>'Raw Data'!M266</f>
        <v>64000</v>
      </c>
      <c r="N266" s="5">
        <f t="shared" si="20"/>
        <v>64000</v>
      </c>
      <c r="O266" s="5">
        <f>'Raw Data'!N266</f>
        <v>19000</v>
      </c>
      <c r="P266" s="5">
        <f>IF(ISBLANK('Raw Data'!N266),AVERAGEIFS('Raw Data'!$N$2:$N$433,'Raw Data'!$G$2:$G$433,G266),'Raw Data'!N266)</f>
        <v>19000</v>
      </c>
      <c r="Q266" s="5">
        <f t="shared" si="21"/>
        <v>38000</v>
      </c>
      <c r="R266" s="5">
        <f t="shared" si="22"/>
        <v>26000</v>
      </c>
      <c r="S266" s="3" t="str">
        <f>'Raw Data'!O266</f>
        <v>No</v>
      </c>
      <c r="T266" s="3" t="str">
        <f>'Raw Data'!P266</f>
        <v>Chinedu</v>
      </c>
      <c r="U266" s="3" t="str">
        <f t="shared" si="23"/>
        <v>January</v>
      </c>
      <c r="V266" s="11">
        <f t="shared" si="24"/>
        <v>0</v>
      </c>
    </row>
    <row r="267" spans="1:22" x14ac:dyDescent="0.25">
      <c r="A267" s="3">
        <f>'Raw Data'!A267</f>
        <v>100266</v>
      </c>
      <c r="B267" s="4">
        <f>'Raw Data'!B267</f>
        <v>46188</v>
      </c>
      <c r="C267" s="3" t="str">
        <f>'Raw Data'!C267</f>
        <v>KN-01</v>
      </c>
      <c r="D267" s="3" t="str">
        <f>PROPER(TRIM('Raw Data'!D267))</f>
        <v>Kano</v>
      </c>
      <c r="E267" s="3" t="str">
        <f>'Raw Data'!E267</f>
        <v>WhatsApp</v>
      </c>
      <c r="F267" s="3" t="str">
        <f>IF(PROPER(TRIM('Raw Data'!F267))="Accessory","Accessories",PROPER(TRIM('Raw Data'!F267)))</f>
        <v>Home</v>
      </c>
      <c r="G267" s="3" t="str">
        <f>'Raw Data'!G267</f>
        <v>Electric Kettle</v>
      </c>
      <c r="H267" s="3" t="str">
        <f>'Raw Data'!H267</f>
        <v>C1055</v>
      </c>
      <c r="I267" s="3" t="str">
        <f>'Raw Data'!I267</f>
        <v>New</v>
      </c>
      <c r="J267" s="3">
        <f>'Raw Data'!J267</f>
        <v>4</v>
      </c>
      <c r="K267" s="5">
        <f>'Raw Data'!K267</f>
        <v>24000</v>
      </c>
      <c r="L267" s="6">
        <f>'Raw Data'!L267</f>
        <v>0</v>
      </c>
      <c r="M267" s="5">
        <f>'Raw Data'!M267</f>
        <v>96000</v>
      </c>
      <c r="N267" s="5">
        <f t="shared" si="20"/>
        <v>96000</v>
      </c>
      <c r="O267" s="5">
        <f>'Raw Data'!N267</f>
        <v>15000</v>
      </c>
      <c r="P267" s="5">
        <f>IF(ISBLANK('Raw Data'!N267),AVERAGEIFS('Raw Data'!$N$2:$N$433,'Raw Data'!$G$2:$G$433,G267),'Raw Data'!N267)</f>
        <v>15000</v>
      </c>
      <c r="Q267" s="5">
        <f t="shared" si="21"/>
        <v>60000</v>
      </c>
      <c r="R267" s="5">
        <f t="shared" si="22"/>
        <v>36000</v>
      </c>
      <c r="S267" s="3" t="str">
        <f>'Raw Data'!O267</f>
        <v>No</v>
      </c>
      <c r="T267" s="3" t="str">
        <f>'Raw Data'!P267</f>
        <v>Ibrahim</v>
      </c>
      <c r="U267" s="3" t="str">
        <f t="shared" si="23"/>
        <v>June</v>
      </c>
      <c r="V267" s="11">
        <f t="shared" si="24"/>
        <v>0</v>
      </c>
    </row>
    <row r="268" spans="1:22" x14ac:dyDescent="0.25">
      <c r="A268" s="3">
        <f>'Raw Data'!A268</f>
        <v>100267</v>
      </c>
      <c r="B268" s="4">
        <f>'Raw Data'!B268</f>
        <v>46143</v>
      </c>
      <c r="C268" s="3" t="str">
        <f>'Raw Data'!C268</f>
        <v>PH-01</v>
      </c>
      <c r="D268" s="3" t="str">
        <f>PROPER(TRIM('Raw Data'!D268))</f>
        <v>Port Harcourt</v>
      </c>
      <c r="E268" s="3" t="str">
        <f>'Raw Data'!E268</f>
        <v>In-store</v>
      </c>
      <c r="F268" s="3" t="str">
        <f>IF(PROPER(TRIM('Raw Data'!F268))="Accessory","Accessories",PROPER(TRIM('Raw Data'!F268)))</f>
        <v>Electronics</v>
      </c>
      <c r="G268" s="3" t="str">
        <f>'Raw Data'!G268</f>
        <v>Power Bank</v>
      </c>
      <c r="H268" s="3" t="str">
        <f>'Raw Data'!H268</f>
        <v>C1013</v>
      </c>
      <c r="I268" s="3" t="str">
        <f>'Raw Data'!I268</f>
        <v>Returning</v>
      </c>
      <c r="J268" s="3">
        <f>'Raw Data'!J268</f>
        <v>1</v>
      </c>
      <c r="K268" s="5">
        <f>'Raw Data'!K268</f>
        <v>26000</v>
      </c>
      <c r="L268" s="6">
        <f>'Raw Data'!L268</f>
        <v>0.05</v>
      </c>
      <c r="M268" s="5">
        <f>'Raw Data'!M268</f>
        <v>24700</v>
      </c>
      <c r="N268" s="5">
        <f t="shared" si="20"/>
        <v>24700</v>
      </c>
      <c r="O268" s="5">
        <f>'Raw Data'!N268</f>
        <v>15000</v>
      </c>
      <c r="P268" s="5">
        <f>IF(ISBLANK('Raw Data'!N268),AVERAGEIFS('Raw Data'!$N$2:$N$433,'Raw Data'!$G$2:$G$433,G268),'Raw Data'!N268)</f>
        <v>15000</v>
      </c>
      <c r="Q268" s="5">
        <f t="shared" si="21"/>
        <v>15000</v>
      </c>
      <c r="R268" s="5">
        <f t="shared" si="22"/>
        <v>9700</v>
      </c>
      <c r="S268" s="3" t="str">
        <f>'Raw Data'!O268</f>
        <v>No</v>
      </c>
      <c r="T268" s="3" t="str">
        <f>'Raw Data'!P268</f>
        <v>Fatima</v>
      </c>
      <c r="U268" s="3" t="str">
        <f t="shared" si="23"/>
        <v>May</v>
      </c>
      <c r="V268" s="11">
        <f t="shared" si="24"/>
        <v>0</v>
      </c>
    </row>
    <row r="269" spans="1:22" x14ac:dyDescent="0.25">
      <c r="A269" s="3">
        <f>'Raw Data'!A269</f>
        <v>100268</v>
      </c>
      <c r="B269" s="4">
        <f>'Raw Data'!B269</f>
        <v>46082</v>
      </c>
      <c r="C269" s="3" t="str">
        <f>'Raw Data'!C269</f>
        <v>LG-02</v>
      </c>
      <c r="D269" s="3" t="str">
        <f>PROPER(TRIM('Raw Data'!D269))</f>
        <v>Lagos</v>
      </c>
      <c r="E269" s="3" t="str">
        <f>'Raw Data'!E269</f>
        <v>Online</v>
      </c>
      <c r="F269" s="3" t="str">
        <f>IF(PROPER(TRIM('Raw Data'!F269))="Accessory","Accessories",PROPER(TRIM('Raw Data'!F269)))</f>
        <v>Home</v>
      </c>
      <c r="G269" s="3" t="str">
        <f>'Raw Data'!G269</f>
        <v>Standing Fan</v>
      </c>
      <c r="H269" s="3" t="str">
        <f>'Raw Data'!H269</f>
        <v>C1078</v>
      </c>
      <c r="I269" s="3" t="str">
        <f>'Raw Data'!I269</f>
        <v>Returning</v>
      </c>
      <c r="J269" s="3">
        <f>'Raw Data'!J269</f>
        <v>2</v>
      </c>
      <c r="K269" s="5">
        <f>'Raw Data'!K269</f>
        <v>58000</v>
      </c>
      <c r="L269" s="6">
        <f>'Raw Data'!L269</f>
        <v>0</v>
      </c>
      <c r="M269" s="5">
        <f>'Raw Data'!M269</f>
        <v>116000</v>
      </c>
      <c r="N269" s="5">
        <f t="shared" si="20"/>
        <v>116000</v>
      </c>
      <c r="O269" s="5">
        <f>'Raw Data'!N269</f>
        <v>39000</v>
      </c>
      <c r="P269" s="5">
        <f>IF(ISBLANK('Raw Data'!N269),AVERAGEIFS('Raw Data'!$N$2:$N$433,'Raw Data'!$G$2:$G$433,G269),'Raw Data'!N269)</f>
        <v>39000</v>
      </c>
      <c r="Q269" s="5">
        <f t="shared" si="21"/>
        <v>78000</v>
      </c>
      <c r="R269" s="5">
        <f t="shared" si="22"/>
        <v>38000</v>
      </c>
      <c r="S269" s="3" t="str">
        <f>'Raw Data'!O269</f>
        <v>No</v>
      </c>
      <c r="T269" s="3" t="str">
        <f>'Raw Data'!P269</f>
        <v>Ibrahim</v>
      </c>
      <c r="U269" s="3" t="str">
        <f t="shared" si="23"/>
        <v>March</v>
      </c>
      <c r="V269" s="11">
        <f t="shared" si="24"/>
        <v>0</v>
      </c>
    </row>
    <row r="270" spans="1:22" x14ac:dyDescent="0.25">
      <c r="A270" s="3">
        <f>'Raw Data'!A270</f>
        <v>100269</v>
      </c>
      <c r="B270" s="4">
        <f>'Raw Data'!B270</f>
        <v>46119</v>
      </c>
      <c r="C270" s="3" t="str">
        <f>'Raw Data'!C270</f>
        <v>AB-01</v>
      </c>
      <c r="D270" s="3" t="str">
        <f>PROPER(TRIM('Raw Data'!D270))</f>
        <v>Abuja</v>
      </c>
      <c r="E270" s="3" t="str">
        <f>'Raw Data'!E270</f>
        <v>WhatsApp</v>
      </c>
      <c r="F270" s="3" t="str">
        <f>IF(PROPER(TRIM('Raw Data'!F270))="Accessory","Accessories",PROPER(TRIM('Raw Data'!F270)))</f>
        <v>Electronics</v>
      </c>
      <c r="G270" s="3" t="str">
        <f>'Raw Data'!G270</f>
        <v>Power Bank</v>
      </c>
      <c r="H270" s="3" t="str">
        <f>'Raw Data'!H270</f>
        <v>C1194</v>
      </c>
      <c r="I270" s="3" t="str">
        <f>'Raw Data'!I270</f>
        <v>Returning</v>
      </c>
      <c r="J270" s="3">
        <f>'Raw Data'!J270</f>
        <v>5</v>
      </c>
      <c r="K270" s="5">
        <f>'Raw Data'!K270</f>
        <v>26000</v>
      </c>
      <c r="L270" s="6">
        <f>'Raw Data'!L270</f>
        <v>0.15</v>
      </c>
      <c r="M270" s="5">
        <f>'Raw Data'!M270</f>
        <v>110500</v>
      </c>
      <c r="N270" s="5">
        <f t="shared" si="20"/>
        <v>110500</v>
      </c>
      <c r="O270" s="5">
        <f>'Raw Data'!N270</f>
        <v>15000</v>
      </c>
      <c r="P270" s="5">
        <f>IF(ISBLANK('Raw Data'!N270),AVERAGEIFS('Raw Data'!$N$2:$N$433,'Raw Data'!$G$2:$G$433,G270),'Raw Data'!N270)</f>
        <v>15000</v>
      </c>
      <c r="Q270" s="5">
        <f t="shared" si="21"/>
        <v>75000</v>
      </c>
      <c r="R270" s="5">
        <f t="shared" si="22"/>
        <v>35500</v>
      </c>
      <c r="S270" s="3" t="str">
        <f>'Raw Data'!O270</f>
        <v>No</v>
      </c>
      <c r="T270" s="3" t="str">
        <f>'Raw Data'!P270</f>
        <v>Kemi</v>
      </c>
      <c r="U270" s="3" t="str">
        <f t="shared" si="23"/>
        <v>April</v>
      </c>
      <c r="V270" s="11">
        <f t="shared" si="24"/>
        <v>0</v>
      </c>
    </row>
    <row r="271" spans="1:22" x14ac:dyDescent="0.25">
      <c r="A271" s="3">
        <f>'Raw Data'!A271</f>
        <v>100270</v>
      </c>
      <c r="B271" s="4">
        <f>'Raw Data'!B271</f>
        <v>46189</v>
      </c>
      <c r="C271" s="3" t="str">
        <f>'Raw Data'!C271</f>
        <v>PH-01</v>
      </c>
      <c r="D271" s="3" t="str">
        <f>PROPER(TRIM('Raw Data'!D271))</f>
        <v>Port Harcourt</v>
      </c>
      <c r="E271" s="3" t="str">
        <f>'Raw Data'!E271</f>
        <v>Online</v>
      </c>
      <c r="F271" s="3" t="str">
        <f>IF(PROPER(TRIM('Raw Data'!F271))="Accessory","Accessories",PROPER(TRIM('Raw Data'!F271)))</f>
        <v>Accessories</v>
      </c>
      <c r="G271" s="3" t="str">
        <f>'Raw Data'!G271</f>
        <v>Backpack</v>
      </c>
      <c r="H271" s="3" t="str">
        <f>'Raw Data'!H271</f>
        <v>C1182</v>
      </c>
      <c r="I271" s="3" t="str">
        <f>'Raw Data'!I271</f>
        <v>Returning</v>
      </c>
      <c r="J271" s="3">
        <f>'Raw Data'!J271</f>
        <v>4</v>
      </c>
      <c r="K271" s="5">
        <f>'Raw Data'!K271</f>
        <v>28000</v>
      </c>
      <c r="L271" s="6">
        <f>'Raw Data'!L271</f>
        <v>0</v>
      </c>
      <c r="M271" s="5">
        <f>'Raw Data'!M271</f>
        <v>112000</v>
      </c>
      <c r="N271" s="5">
        <f t="shared" si="20"/>
        <v>112000</v>
      </c>
      <c r="O271" s="5">
        <f>'Raw Data'!N271</f>
        <v>16000</v>
      </c>
      <c r="P271" s="5">
        <f>IF(ISBLANK('Raw Data'!N271),AVERAGEIFS('Raw Data'!$N$2:$N$433,'Raw Data'!$G$2:$G$433,G271),'Raw Data'!N271)</f>
        <v>16000</v>
      </c>
      <c r="Q271" s="5">
        <f t="shared" si="21"/>
        <v>64000</v>
      </c>
      <c r="R271" s="5">
        <f t="shared" si="22"/>
        <v>48000</v>
      </c>
      <c r="S271" s="3" t="str">
        <f>'Raw Data'!O271</f>
        <v>No</v>
      </c>
      <c r="T271" s="3" t="str">
        <f>'Raw Data'!P271</f>
        <v>Grace</v>
      </c>
      <c r="U271" s="3" t="str">
        <f t="shared" si="23"/>
        <v>June</v>
      </c>
      <c r="V271" s="11">
        <f t="shared" si="24"/>
        <v>0</v>
      </c>
    </row>
    <row r="272" spans="1:22" x14ac:dyDescent="0.25">
      <c r="A272" s="3">
        <f>'Raw Data'!A272</f>
        <v>100271</v>
      </c>
      <c r="B272" s="4">
        <f>'Raw Data'!B272</f>
        <v>46137</v>
      </c>
      <c r="C272" s="3" t="str">
        <f>'Raw Data'!C272</f>
        <v>IB-01</v>
      </c>
      <c r="D272" s="3" t="str">
        <f>PROPER(TRIM('Raw Data'!D272))</f>
        <v>Ibadan</v>
      </c>
      <c r="E272" s="3" t="str">
        <f>'Raw Data'!E272</f>
        <v>Online</v>
      </c>
      <c r="F272" s="3" t="str">
        <f>IF(PROPER(TRIM('Raw Data'!F272))="Accessory","Accessories",PROPER(TRIM('Raw Data'!F272)))</f>
        <v>Electronics</v>
      </c>
      <c r="G272" s="3" t="str">
        <f>'Raw Data'!G272</f>
        <v>Smartphone</v>
      </c>
      <c r="H272" s="3" t="str">
        <f>'Raw Data'!H272</f>
        <v>C1149</v>
      </c>
      <c r="I272" s="3" t="str">
        <f>'Raw Data'!I272</f>
        <v>New</v>
      </c>
      <c r="J272" s="3">
        <f>'Raw Data'!J272</f>
        <v>1</v>
      </c>
      <c r="K272" s="5">
        <f>'Raw Data'!K272</f>
        <v>165000</v>
      </c>
      <c r="L272" s="6">
        <f>'Raw Data'!L272</f>
        <v>0</v>
      </c>
      <c r="M272" s="5">
        <f>'Raw Data'!M272</f>
        <v>165000</v>
      </c>
      <c r="N272" s="5">
        <f t="shared" si="20"/>
        <v>165000</v>
      </c>
      <c r="O272" s="5">
        <f>'Raw Data'!N272</f>
        <v>112000</v>
      </c>
      <c r="P272" s="5">
        <f>IF(ISBLANK('Raw Data'!N272),AVERAGEIFS('Raw Data'!$N$2:$N$433,'Raw Data'!$G$2:$G$433,G272),'Raw Data'!N272)</f>
        <v>112000</v>
      </c>
      <c r="Q272" s="5">
        <f t="shared" si="21"/>
        <v>112000</v>
      </c>
      <c r="R272" s="5">
        <f t="shared" si="22"/>
        <v>53000</v>
      </c>
      <c r="S272" s="3" t="str">
        <f>'Raw Data'!O272</f>
        <v>No</v>
      </c>
      <c r="T272" s="3" t="str">
        <f>'Raw Data'!P272</f>
        <v>Chinedu</v>
      </c>
      <c r="U272" s="3" t="str">
        <f t="shared" si="23"/>
        <v>April</v>
      </c>
      <c r="V272" s="11">
        <f t="shared" si="24"/>
        <v>0</v>
      </c>
    </row>
    <row r="273" spans="1:22" x14ac:dyDescent="0.25">
      <c r="A273" s="3">
        <f>'Raw Data'!A273</f>
        <v>100272</v>
      </c>
      <c r="B273" s="4">
        <f>'Raw Data'!B273</f>
        <v>46100</v>
      </c>
      <c r="C273" s="3" t="str">
        <f>'Raw Data'!C273</f>
        <v>LG-02</v>
      </c>
      <c r="D273" s="3" t="str">
        <f>PROPER(TRIM('Raw Data'!D273))</f>
        <v>Lagos</v>
      </c>
      <c r="E273" s="3" t="str">
        <f>'Raw Data'!E273</f>
        <v>In-store</v>
      </c>
      <c r="F273" s="3" t="str">
        <f>IF(PROPER(TRIM('Raw Data'!F273))="Accessory","Accessories",PROPER(TRIM('Raw Data'!F273)))</f>
        <v>Home</v>
      </c>
      <c r="G273" s="3" t="str">
        <f>'Raw Data'!G273</f>
        <v>Blender</v>
      </c>
      <c r="H273" s="3" t="str">
        <f>'Raw Data'!H273</f>
        <v>C1078</v>
      </c>
      <c r="I273" s="3" t="str">
        <f>'Raw Data'!I273</f>
        <v>Returning</v>
      </c>
      <c r="J273" s="3">
        <f>'Raw Data'!J273</f>
        <v>1</v>
      </c>
      <c r="K273" s="5">
        <f>'Raw Data'!K273</f>
        <v>42000</v>
      </c>
      <c r="L273" s="6">
        <f>'Raw Data'!L273</f>
        <v>0</v>
      </c>
      <c r="M273" s="5">
        <f>'Raw Data'!M273</f>
        <v>42000</v>
      </c>
      <c r="N273" s="5">
        <f t="shared" si="20"/>
        <v>42000</v>
      </c>
      <c r="O273" s="5">
        <f>'Raw Data'!N273</f>
        <v>28000</v>
      </c>
      <c r="P273" s="5">
        <f>IF(ISBLANK('Raw Data'!N273),AVERAGEIFS('Raw Data'!$N$2:$N$433,'Raw Data'!$G$2:$G$433,G273),'Raw Data'!N273)</f>
        <v>28000</v>
      </c>
      <c r="Q273" s="5">
        <f t="shared" si="21"/>
        <v>28000</v>
      </c>
      <c r="R273" s="5">
        <f t="shared" si="22"/>
        <v>14000</v>
      </c>
      <c r="S273" s="3" t="str">
        <f>'Raw Data'!O273</f>
        <v>No</v>
      </c>
      <c r="T273" s="3" t="str">
        <f>'Raw Data'!P273</f>
        <v>Fatima</v>
      </c>
      <c r="U273" s="3" t="str">
        <f t="shared" si="23"/>
        <v>March</v>
      </c>
      <c r="V273" s="11">
        <f t="shared" si="24"/>
        <v>0</v>
      </c>
    </row>
    <row r="274" spans="1:22" x14ac:dyDescent="0.25">
      <c r="A274" s="3">
        <f>'Raw Data'!A274</f>
        <v>100273</v>
      </c>
      <c r="B274" s="4">
        <f>'Raw Data'!B274</f>
        <v>46037</v>
      </c>
      <c r="C274" s="3" t="str">
        <f>'Raw Data'!C274</f>
        <v>IB-01</v>
      </c>
      <c r="D274" s="3" t="str">
        <f>PROPER(TRIM('Raw Data'!D274))</f>
        <v>Ibadan</v>
      </c>
      <c r="E274" s="3" t="str">
        <f>'Raw Data'!E274</f>
        <v>Online</v>
      </c>
      <c r="F274" s="3" t="str">
        <f>IF(PROPER(TRIM('Raw Data'!F274))="Accessory","Accessories",PROPER(TRIM('Raw Data'!F274)))</f>
        <v>Electronics</v>
      </c>
      <c r="G274" s="3" t="str">
        <f>'Raw Data'!G274</f>
        <v>Smartphone</v>
      </c>
      <c r="H274" s="3" t="str">
        <f>'Raw Data'!H274</f>
        <v>C1053</v>
      </c>
      <c r="I274" s="3" t="str">
        <f>'Raw Data'!I274</f>
        <v>New</v>
      </c>
      <c r="J274" s="3">
        <f>'Raw Data'!J274</f>
        <v>2</v>
      </c>
      <c r="K274" s="5">
        <f>'Raw Data'!K274</f>
        <v>165000</v>
      </c>
      <c r="L274" s="6">
        <f>'Raw Data'!L274</f>
        <v>0.05</v>
      </c>
      <c r="M274" s="5">
        <f>'Raw Data'!M274</f>
        <v>313500</v>
      </c>
      <c r="N274" s="5">
        <f t="shared" si="20"/>
        <v>313500</v>
      </c>
      <c r="O274" s="5">
        <f>'Raw Data'!N274</f>
        <v>112000</v>
      </c>
      <c r="P274" s="5">
        <f>IF(ISBLANK('Raw Data'!N274),AVERAGEIFS('Raw Data'!$N$2:$N$433,'Raw Data'!$G$2:$G$433,G274),'Raw Data'!N274)</f>
        <v>112000</v>
      </c>
      <c r="Q274" s="5">
        <f t="shared" si="21"/>
        <v>224000</v>
      </c>
      <c r="R274" s="5">
        <f t="shared" si="22"/>
        <v>89500</v>
      </c>
      <c r="S274" s="3" t="str">
        <f>'Raw Data'!O274</f>
        <v>No</v>
      </c>
      <c r="T274" s="3" t="str">
        <f>'Raw Data'!P274</f>
        <v>Bola</v>
      </c>
      <c r="U274" s="3" t="str">
        <f t="shared" si="23"/>
        <v>January</v>
      </c>
      <c r="V274" s="11">
        <f t="shared" si="24"/>
        <v>0</v>
      </c>
    </row>
    <row r="275" spans="1:22" x14ac:dyDescent="0.25">
      <c r="A275" s="3">
        <f>'Raw Data'!A275</f>
        <v>100274</v>
      </c>
      <c r="B275" s="4">
        <f>'Raw Data'!B275</f>
        <v>46260</v>
      </c>
      <c r="C275" s="3" t="str">
        <f>'Raw Data'!C275</f>
        <v>PH-01</v>
      </c>
      <c r="D275" s="3" t="str">
        <f>PROPER(TRIM('Raw Data'!D275))</f>
        <v>Port Harcourt</v>
      </c>
      <c r="E275" s="3" t="str">
        <f>'Raw Data'!E275</f>
        <v>Online</v>
      </c>
      <c r="F275" s="3" t="str">
        <f>IF(PROPER(TRIM('Raw Data'!F275))="Accessory","Accessories",PROPER(TRIM('Raw Data'!F275)))</f>
        <v>Accessories</v>
      </c>
      <c r="G275" s="3" t="str">
        <f>'Raw Data'!G275</f>
        <v>Backpack</v>
      </c>
      <c r="H275" s="3" t="str">
        <f>'Raw Data'!H275</f>
        <v>C1091</v>
      </c>
      <c r="I275" s="3" t="str">
        <f>'Raw Data'!I275</f>
        <v>Returning</v>
      </c>
      <c r="J275" s="3">
        <f>'Raw Data'!J275</f>
        <v>3</v>
      </c>
      <c r="K275" s="5">
        <f>'Raw Data'!K275</f>
        <v>28000</v>
      </c>
      <c r="L275" s="6">
        <f>'Raw Data'!L275</f>
        <v>0</v>
      </c>
      <c r="M275" s="5">
        <f>'Raw Data'!M275</f>
        <v>84000</v>
      </c>
      <c r="N275" s="5">
        <f t="shared" si="20"/>
        <v>84000</v>
      </c>
      <c r="O275" s="5">
        <f>'Raw Data'!N275</f>
        <v>16000</v>
      </c>
      <c r="P275" s="5">
        <f>IF(ISBLANK('Raw Data'!N275),AVERAGEIFS('Raw Data'!$N$2:$N$433,'Raw Data'!$G$2:$G$433,G275),'Raw Data'!N275)</f>
        <v>16000</v>
      </c>
      <c r="Q275" s="5">
        <f t="shared" si="21"/>
        <v>48000</v>
      </c>
      <c r="R275" s="5">
        <f t="shared" si="22"/>
        <v>36000</v>
      </c>
      <c r="S275" s="3" t="str">
        <f>'Raw Data'!O275</f>
        <v>No</v>
      </c>
      <c r="T275" s="3" t="str">
        <f>'Raw Data'!P275</f>
        <v>Fatima</v>
      </c>
      <c r="U275" s="3" t="str">
        <f t="shared" si="23"/>
        <v>August</v>
      </c>
      <c r="V275" s="11">
        <f t="shared" si="24"/>
        <v>0</v>
      </c>
    </row>
    <row r="276" spans="1:22" x14ac:dyDescent="0.25">
      <c r="A276" s="3">
        <f>'Raw Data'!A276</f>
        <v>100275</v>
      </c>
      <c r="B276" s="4">
        <f>'Raw Data'!B276</f>
        <v>46156</v>
      </c>
      <c r="C276" s="3" t="str">
        <f>'Raw Data'!C276</f>
        <v>LG-01</v>
      </c>
      <c r="D276" s="3" t="str">
        <f>PROPER(TRIM('Raw Data'!D276))</f>
        <v>Lagos</v>
      </c>
      <c r="E276" s="3" t="str">
        <f>'Raw Data'!E276</f>
        <v>Online</v>
      </c>
      <c r="F276" s="3" t="str">
        <f>IF(PROPER(TRIM('Raw Data'!F276))="Accessory","Accessories",PROPER(TRIM('Raw Data'!F276)))</f>
        <v>Electronics</v>
      </c>
      <c r="G276" s="3" t="str">
        <f>'Raw Data'!G276</f>
        <v>Power Bank</v>
      </c>
      <c r="H276" s="3" t="str">
        <f>'Raw Data'!H276</f>
        <v>C1135</v>
      </c>
      <c r="I276" s="3" t="str">
        <f>'Raw Data'!I276</f>
        <v>New</v>
      </c>
      <c r="J276" s="3">
        <f>'Raw Data'!J276</f>
        <v>22</v>
      </c>
      <c r="K276" s="5">
        <f>'Raw Data'!K276</f>
        <v>26000</v>
      </c>
      <c r="L276" s="6">
        <f>'Raw Data'!L276</f>
        <v>0.05</v>
      </c>
      <c r="M276" s="5">
        <f>'Raw Data'!M276</f>
        <v>543400</v>
      </c>
      <c r="N276" s="5">
        <f t="shared" si="20"/>
        <v>543400</v>
      </c>
      <c r="O276" s="5">
        <f>'Raw Data'!N276</f>
        <v>15000</v>
      </c>
      <c r="P276" s="5">
        <f>IF(ISBLANK('Raw Data'!N276),AVERAGEIFS('Raw Data'!$N$2:$N$433,'Raw Data'!$G$2:$G$433,G276),'Raw Data'!N276)</f>
        <v>15000</v>
      </c>
      <c r="Q276" s="5">
        <f t="shared" si="21"/>
        <v>330000</v>
      </c>
      <c r="R276" s="5">
        <f t="shared" si="22"/>
        <v>213400</v>
      </c>
      <c r="S276" s="3" t="str">
        <f>'Raw Data'!O276</f>
        <v>No</v>
      </c>
      <c r="T276" s="3" t="str">
        <f>'Raw Data'!P276</f>
        <v>David</v>
      </c>
      <c r="U276" s="3" t="str">
        <f t="shared" si="23"/>
        <v>May</v>
      </c>
      <c r="V276" s="11">
        <f t="shared" si="24"/>
        <v>0</v>
      </c>
    </row>
    <row r="277" spans="1:22" x14ac:dyDescent="0.25">
      <c r="A277" s="3">
        <f>'Raw Data'!A277</f>
        <v>100276</v>
      </c>
      <c r="B277" s="4">
        <f>'Raw Data'!B277</f>
        <v>46195</v>
      </c>
      <c r="C277" s="3" t="str">
        <f>'Raw Data'!C277</f>
        <v>LG-02</v>
      </c>
      <c r="D277" s="3" t="str">
        <f>PROPER(TRIM('Raw Data'!D277))</f>
        <v>Lagos</v>
      </c>
      <c r="E277" s="3" t="str">
        <f>'Raw Data'!E277</f>
        <v>Online</v>
      </c>
      <c r="F277" s="3" t="str">
        <f>IF(PROPER(TRIM('Raw Data'!F277))="Accessory","Accessories",PROPER(TRIM('Raw Data'!F277)))</f>
        <v>Home</v>
      </c>
      <c r="G277" s="3" t="str">
        <f>'Raw Data'!G277</f>
        <v>Electric Kettle</v>
      </c>
      <c r="H277" s="3" t="str">
        <f>'Raw Data'!H277</f>
        <v>C1016</v>
      </c>
      <c r="I277" s="3" t="str">
        <f>'Raw Data'!I277</f>
        <v>New</v>
      </c>
      <c r="J277" s="3">
        <f>'Raw Data'!J277</f>
        <v>2</v>
      </c>
      <c r="K277" s="5">
        <f>'Raw Data'!K277</f>
        <v>24000</v>
      </c>
      <c r="L277" s="6">
        <f>'Raw Data'!L277</f>
        <v>0.1</v>
      </c>
      <c r="M277" s="5">
        <f>'Raw Data'!M277</f>
        <v>43200</v>
      </c>
      <c r="N277" s="5">
        <f t="shared" si="20"/>
        <v>43200</v>
      </c>
      <c r="O277" s="5">
        <f>'Raw Data'!N277</f>
        <v>15000</v>
      </c>
      <c r="P277" s="5">
        <f>IF(ISBLANK('Raw Data'!N277),AVERAGEIFS('Raw Data'!$N$2:$N$433,'Raw Data'!$G$2:$G$433,G277),'Raw Data'!N277)</f>
        <v>15000</v>
      </c>
      <c r="Q277" s="5">
        <f t="shared" si="21"/>
        <v>30000</v>
      </c>
      <c r="R277" s="5">
        <f t="shared" si="22"/>
        <v>13200</v>
      </c>
      <c r="S277" s="3" t="str">
        <f>'Raw Data'!O277</f>
        <v>No</v>
      </c>
      <c r="T277" s="3" t="str">
        <f>'Raw Data'!P277</f>
        <v>David</v>
      </c>
      <c r="U277" s="3" t="str">
        <f t="shared" si="23"/>
        <v>June</v>
      </c>
      <c r="V277" s="11">
        <f t="shared" si="24"/>
        <v>0</v>
      </c>
    </row>
    <row r="278" spans="1:22" x14ac:dyDescent="0.25">
      <c r="A278" s="3">
        <f>'Raw Data'!A278</f>
        <v>100277</v>
      </c>
      <c r="B278" s="4">
        <f>'Raw Data'!B278</f>
        <v>46231</v>
      </c>
      <c r="C278" s="3" t="str">
        <f>'Raw Data'!C278</f>
        <v>LG-01</v>
      </c>
      <c r="D278" s="3" t="str">
        <f>PROPER(TRIM('Raw Data'!D278))</f>
        <v>Lagos</v>
      </c>
      <c r="E278" s="3" t="str">
        <f>'Raw Data'!E278</f>
        <v>In-store</v>
      </c>
      <c r="F278" s="3" t="str">
        <f>IF(PROPER(TRIM('Raw Data'!F278))="Accessory","Accessories",PROPER(TRIM('Raw Data'!F278)))</f>
        <v>Electronics</v>
      </c>
      <c r="G278" s="3" t="str">
        <f>'Raw Data'!G278</f>
        <v>Power Bank</v>
      </c>
      <c r="H278" s="3" t="str">
        <f>'Raw Data'!H278</f>
        <v>C1038</v>
      </c>
      <c r="I278" s="3" t="str">
        <f>'Raw Data'!I278</f>
        <v>New</v>
      </c>
      <c r="J278" s="3">
        <f>'Raw Data'!J278</f>
        <v>22</v>
      </c>
      <c r="K278" s="5">
        <f>'Raw Data'!K278</f>
        <v>26000</v>
      </c>
      <c r="L278" s="6">
        <f>'Raw Data'!L278</f>
        <v>0</v>
      </c>
      <c r="M278" s="5">
        <f>'Raw Data'!M278</f>
        <v>572000</v>
      </c>
      <c r="N278" s="5">
        <f t="shared" si="20"/>
        <v>572000</v>
      </c>
      <c r="O278" s="5">
        <f>'Raw Data'!N278</f>
        <v>15000</v>
      </c>
      <c r="P278" s="5">
        <f>IF(ISBLANK('Raw Data'!N278),AVERAGEIFS('Raw Data'!$N$2:$N$433,'Raw Data'!$G$2:$G$433,G278),'Raw Data'!N278)</f>
        <v>15000</v>
      </c>
      <c r="Q278" s="5">
        <f t="shared" si="21"/>
        <v>330000</v>
      </c>
      <c r="R278" s="5">
        <f t="shared" si="22"/>
        <v>242000</v>
      </c>
      <c r="S278" s="3" t="str">
        <f>'Raw Data'!O278</f>
        <v>No</v>
      </c>
      <c r="T278" s="3" t="str">
        <f>'Raw Data'!P278</f>
        <v>Grace</v>
      </c>
      <c r="U278" s="3" t="str">
        <f t="shared" si="23"/>
        <v>July</v>
      </c>
      <c r="V278" s="11">
        <f t="shared" si="24"/>
        <v>0</v>
      </c>
    </row>
    <row r="279" spans="1:22" x14ac:dyDescent="0.25">
      <c r="A279" s="3">
        <f>'Raw Data'!A279</f>
        <v>100278</v>
      </c>
      <c r="B279" s="4">
        <f>'Raw Data'!B279</f>
        <v>46200</v>
      </c>
      <c r="C279" s="3" t="str">
        <f>'Raw Data'!C279</f>
        <v>LG-01</v>
      </c>
      <c r="D279" s="3" t="str">
        <f>PROPER(TRIM('Raw Data'!D279))</f>
        <v>Lagos</v>
      </c>
      <c r="E279" s="3" t="str">
        <f>'Raw Data'!E279</f>
        <v>In-store</v>
      </c>
      <c r="F279" s="3" t="str">
        <f>IF(PROPER(TRIM('Raw Data'!F279))="Accessory","Accessories",PROPER(TRIM('Raw Data'!F279)))</f>
        <v>Electronics</v>
      </c>
      <c r="G279" s="3" t="str">
        <f>'Raw Data'!G279</f>
        <v>Power Bank</v>
      </c>
      <c r="H279" s="3" t="str">
        <f>'Raw Data'!H279</f>
        <v>C1144</v>
      </c>
      <c r="I279" s="3" t="str">
        <f>'Raw Data'!I279</f>
        <v>New</v>
      </c>
      <c r="J279" s="3">
        <f>'Raw Data'!J279</f>
        <v>3</v>
      </c>
      <c r="K279" s="5">
        <f>'Raw Data'!K279</f>
        <v>26000</v>
      </c>
      <c r="L279" s="6">
        <f>'Raw Data'!L279</f>
        <v>0.1</v>
      </c>
      <c r="M279" s="5">
        <f>'Raw Data'!M279</f>
        <v>56160</v>
      </c>
      <c r="N279" s="5">
        <f t="shared" si="20"/>
        <v>70200</v>
      </c>
      <c r="O279" s="5">
        <f>'Raw Data'!N279</f>
        <v>15000</v>
      </c>
      <c r="P279" s="5">
        <f>IF(ISBLANK('Raw Data'!N279),AVERAGEIFS('Raw Data'!$N$2:$N$433,'Raw Data'!$G$2:$G$433,G279),'Raw Data'!N279)</f>
        <v>15000</v>
      </c>
      <c r="Q279" s="5">
        <f t="shared" si="21"/>
        <v>45000</v>
      </c>
      <c r="R279" s="5">
        <f t="shared" si="22"/>
        <v>25200</v>
      </c>
      <c r="S279" s="3" t="str">
        <f>'Raw Data'!O279</f>
        <v>No</v>
      </c>
      <c r="T279" s="3" t="str">
        <f>'Raw Data'!P279</f>
        <v>Fatima</v>
      </c>
      <c r="U279" s="3" t="str">
        <f t="shared" si="23"/>
        <v>June</v>
      </c>
      <c r="V279" s="11">
        <f t="shared" si="24"/>
        <v>0</v>
      </c>
    </row>
    <row r="280" spans="1:22" x14ac:dyDescent="0.25">
      <c r="A280" s="3">
        <f>'Raw Data'!A280</f>
        <v>100279</v>
      </c>
      <c r="B280" s="4">
        <f>'Raw Data'!B280</f>
        <v>46074</v>
      </c>
      <c r="C280" s="3" t="str">
        <f>'Raw Data'!C280</f>
        <v>AB-02</v>
      </c>
      <c r="D280" s="3" t="str">
        <f>PROPER(TRIM('Raw Data'!D280))</f>
        <v>Abuja</v>
      </c>
      <c r="E280" s="3" t="str">
        <f>'Raw Data'!E280</f>
        <v>Online</v>
      </c>
      <c r="F280" s="3" t="str">
        <f>IF(PROPER(TRIM('Raw Data'!F280))="Accessory","Accessories",PROPER(TRIM('Raw Data'!F280)))</f>
        <v>Accessories</v>
      </c>
      <c r="G280" s="3" t="str">
        <f>'Raw Data'!G280</f>
        <v>USB Cable</v>
      </c>
      <c r="H280" s="3" t="str">
        <f>'Raw Data'!H280</f>
        <v>C1082</v>
      </c>
      <c r="I280" s="3" t="str">
        <f>'Raw Data'!I280</f>
        <v>Returning</v>
      </c>
      <c r="J280" s="3">
        <f>'Raw Data'!J280</f>
        <v>4</v>
      </c>
      <c r="K280" s="5">
        <f>'Raw Data'!K280</f>
        <v>6500</v>
      </c>
      <c r="L280" s="6">
        <f>'Raw Data'!L280</f>
        <v>0.15</v>
      </c>
      <c r="M280" s="5">
        <f>'Raw Data'!M280</f>
        <v>22100</v>
      </c>
      <c r="N280" s="5">
        <f t="shared" si="20"/>
        <v>22100</v>
      </c>
      <c r="O280" s="5">
        <f>'Raw Data'!N280</f>
        <v>2200</v>
      </c>
      <c r="P280" s="5">
        <f>IF(ISBLANK('Raw Data'!N280),AVERAGEIFS('Raw Data'!$N$2:$N$433,'Raw Data'!$G$2:$G$433,G280),'Raw Data'!N280)</f>
        <v>2200</v>
      </c>
      <c r="Q280" s="5">
        <f t="shared" si="21"/>
        <v>8800</v>
      </c>
      <c r="R280" s="5">
        <f t="shared" si="22"/>
        <v>13300</v>
      </c>
      <c r="S280" s="3" t="str">
        <f>'Raw Data'!O280</f>
        <v>No</v>
      </c>
      <c r="T280" s="3" t="str">
        <f>'Raw Data'!P280</f>
        <v>Ibrahim</v>
      </c>
      <c r="U280" s="3" t="str">
        <f t="shared" si="23"/>
        <v>February</v>
      </c>
      <c r="V280" s="11">
        <f t="shared" si="24"/>
        <v>0</v>
      </c>
    </row>
    <row r="281" spans="1:22" x14ac:dyDescent="0.25">
      <c r="A281" s="3">
        <f>'Raw Data'!A281</f>
        <v>100280</v>
      </c>
      <c r="B281" s="4">
        <f>'Raw Data'!B281</f>
        <v>46189</v>
      </c>
      <c r="C281" s="3" t="str">
        <f>'Raw Data'!C281</f>
        <v>LG-01</v>
      </c>
      <c r="D281" s="3" t="str">
        <f>PROPER(TRIM('Raw Data'!D281))</f>
        <v>Lagos</v>
      </c>
      <c r="E281" s="3" t="str">
        <f>'Raw Data'!E281</f>
        <v>WhatsApp</v>
      </c>
      <c r="F281" s="3" t="str">
        <f>IF(PROPER(TRIM('Raw Data'!F281))="Accessory","Accessories",PROPER(TRIM('Raw Data'!F281)))</f>
        <v>Electronics</v>
      </c>
      <c r="G281" s="3" t="str">
        <f>'Raw Data'!G281</f>
        <v>Earbuds</v>
      </c>
      <c r="H281" s="3" t="str">
        <f>'Raw Data'!H281</f>
        <v>C1041</v>
      </c>
      <c r="I281" s="3" t="str">
        <f>'Raw Data'!I281</f>
        <v>Returning</v>
      </c>
      <c r="J281" s="3">
        <f>'Raw Data'!J281</f>
        <v>1</v>
      </c>
      <c r="K281" s="5">
        <f>'Raw Data'!K281</f>
        <v>32000</v>
      </c>
      <c r="L281" s="6">
        <f>'Raw Data'!L281</f>
        <v>0.05</v>
      </c>
      <c r="M281" s="5">
        <f>'Raw Data'!M281</f>
        <v>30400</v>
      </c>
      <c r="N281" s="5">
        <f t="shared" si="20"/>
        <v>30400</v>
      </c>
      <c r="O281" s="5">
        <f>'Raw Data'!N281</f>
        <v>19000</v>
      </c>
      <c r="P281" s="5">
        <f>IF(ISBLANK('Raw Data'!N281),AVERAGEIFS('Raw Data'!$N$2:$N$433,'Raw Data'!$G$2:$G$433,G281),'Raw Data'!N281)</f>
        <v>19000</v>
      </c>
      <c r="Q281" s="5">
        <f t="shared" si="21"/>
        <v>19000</v>
      </c>
      <c r="R281" s="5">
        <f t="shared" si="22"/>
        <v>11400</v>
      </c>
      <c r="S281" s="3" t="str">
        <f>'Raw Data'!O281</f>
        <v>No</v>
      </c>
      <c r="T281" s="3" t="str">
        <f>'Raw Data'!P281</f>
        <v>Grace</v>
      </c>
      <c r="U281" s="3" t="str">
        <f t="shared" si="23"/>
        <v>June</v>
      </c>
      <c r="V281" s="11">
        <f t="shared" si="24"/>
        <v>0</v>
      </c>
    </row>
    <row r="282" spans="1:22" x14ac:dyDescent="0.25">
      <c r="A282" s="3">
        <f>'Raw Data'!A282</f>
        <v>100281</v>
      </c>
      <c r="B282" s="4">
        <f>'Raw Data'!B282</f>
        <v>46157</v>
      </c>
      <c r="C282" s="3" t="str">
        <f>'Raw Data'!C282</f>
        <v>LG-01</v>
      </c>
      <c r="D282" s="3" t="str">
        <f>PROPER(TRIM('Raw Data'!D282))</f>
        <v>Lagos</v>
      </c>
      <c r="E282" s="3" t="str">
        <f>'Raw Data'!E282</f>
        <v>WhatsApp</v>
      </c>
      <c r="F282" s="3" t="str">
        <f>IF(PROPER(TRIM('Raw Data'!F282))="Accessory","Accessories",PROPER(TRIM('Raw Data'!F282)))</f>
        <v>Electronics</v>
      </c>
      <c r="G282" s="3" t="str">
        <f>'Raw Data'!G282</f>
        <v>Power Bank</v>
      </c>
      <c r="H282" s="3" t="str">
        <f>'Raw Data'!H282</f>
        <v>C1035</v>
      </c>
      <c r="I282" s="3" t="str">
        <f>'Raw Data'!I282</f>
        <v>New</v>
      </c>
      <c r="J282" s="3">
        <f>'Raw Data'!J282</f>
        <v>1</v>
      </c>
      <c r="K282" s="5">
        <f>'Raw Data'!K282</f>
        <v>26000</v>
      </c>
      <c r="L282" s="6">
        <f>'Raw Data'!L282</f>
        <v>0.15</v>
      </c>
      <c r="M282" s="5">
        <f>'Raw Data'!M282</f>
        <v>22100</v>
      </c>
      <c r="N282" s="5">
        <f t="shared" si="20"/>
        <v>22100</v>
      </c>
      <c r="O282" s="5">
        <f>'Raw Data'!N282</f>
        <v>15000</v>
      </c>
      <c r="P282" s="5">
        <f>IF(ISBLANK('Raw Data'!N282),AVERAGEIFS('Raw Data'!$N$2:$N$433,'Raw Data'!$G$2:$G$433,G282),'Raw Data'!N282)</f>
        <v>15000</v>
      </c>
      <c r="Q282" s="5">
        <f t="shared" si="21"/>
        <v>15000</v>
      </c>
      <c r="R282" s="5">
        <f t="shared" si="22"/>
        <v>7100</v>
      </c>
      <c r="S282" s="3" t="str">
        <f>'Raw Data'!O282</f>
        <v>No</v>
      </c>
      <c r="T282" s="3" t="str">
        <f>'Raw Data'!P282</f>
        <v>Bola</v>
      </c>
      <c r="U282" s="3" t="str">
        <f t="shared" si="23"/>
        <v>May</v>
      </c>
      <c r="V282" s="11">
        <f t="shared" si="24"/>
        <v>0</v>
      </c>
    </row>
    <row r="283" spans="1:22" x14ac:dyDescent="0.25">
      <c r="A283" s="3">
        <f>'Raw Data'!A283</f>
        <v>100282</v>
      </c>
      <c r="B283" s="4">
        <f>'Raw Data'!B283</f>
        <v>46149</v>
      </c>
      <c r="C283" s="3" t="str">
        <f>'Raw Data'!C283</f>
        <v>LG-01</v>
      </c>
      <c r="D283" s="3" t="str">
        <f>PROPER(TRIM('Raw Data'!D283))</f>
        <v>Lagos</v>
      </c>
      <c r="E283" s="3" t="str">
        <f>'Raw Data'!E283</f>
        <v>In-store</v>
      </c>
      <c r="F283" s="3" t="str">
        <f>IF(PROPER(TRIM('Raw Data'!F283))="Accessory","Accessories",PROPER(TRIM('Raw Data'!F283)))</f>
        <v>Electronics</v>
      </c>
      <c r="G283" s="3" t="str">
        <f>'Raw Data'!G283</f>
        <v>Power Bank</v>
      </c>
      <c r="H283" s="3" t="str">
        <f>'Raw Data'!H283</f>
        <v>C1159</v>
      </c>
      <c r="I283" s="3" t="str">
        <f>'Raw Data'!I283</f>
        <v>Returning</v>
      </c>
      <c r="J283" s="3">
        <f>'Raw Data'!J283</f>
        <v>2</v>
      </c>
      <c r="K283" s="5">
        <f>'Raw Data'!K283</f>
        <v>26000</v>
      </c>
      <c r="L283" s="6">
        <f>'Raw Data'!L283</f>
        <v>0.05</v>
      </c>
      <c r="M283" s="5">
        <f>'Raw Data'!M283</f>
        <v>49400</v>
      </c>
      <c r="N283" s="5">
        <f t="shared" si="20"/>
        <v>49400</v>
      </c>
      <c r="O283" s="5">
        <f>'Raw Data'!N283</f>
        <v>15000</v>
      </c>
      <c r="P283" s="5">
        <f>IF(ISBLANK('Raw Data'!N283),AVERAGEIFS('Raw Data'!$N$2:$N$433,'Raw Data'!$G$2:$G$433,G283),'Raw Data'!N283)</f>
        <v>15000</v>
      </c>
      <c r="Q283" s="5">
        <f t="shared" si="21"/>
        <v>30000</v>
      </c>
      <c r="R283" s="5">
        <f t="shared" si="22"/>
        <v>19400</v>
      </c>
      <c r="S283" s="3" t="str">
        <f>'Raw Data'!O283</f>
        <v>No</v>
      </c>
      <c r="T283" s="3" t="str">
        <f>'Raw Data'!P283</f>
        <v>Kemi</v>
      </c>
      <c r="U283" s="3" t="str">
        <f t="shared" si="23"/>
        <v>May</v>
      </c>
      <c r="V283" s="11">
        <f t="shared" si="24"/>
        <v>0</v>
      </c>
    </row>
    <row r="284" spans="1:22" x14ac:dyDescent="0.25">
      <c r="A284" s="3">
        <f>'Raw Data'!A284</f>
        <v>100283</v>
      </c>
      <c r="B284" s="4">
        <f>'Raw Data'!B284</f>
        <v>46260</v>
      </c>
      <c r="C284" s="3" t="str">
        <f>'Raw Data'!C284</f>
        <v>LG-01</v>
      </c>
      <c r="D284" s="3" t="str">
        <f>PROPER(TRIM('Raw Data'!D284))</f>
        <v>Lagos</v>
      </c>
      <c r="E284" s="3" t="str">
        <f>'Raw Data'!E284</f>
        <v>In-store</v>
      </c>
      <c r="F284" s="3" t="str">
        <f>IF(PROPER(TRIM('Raw Data'!F284))="Accessory","Accessories",PROPER(TRIM('Raw Data'!F284)))</f>
        <v>Home</v>
      </c>
      <c r="G284" s="3" t="str">
        <f>'Raw Data'!G284</f>
        <v>Standing Fan</v>
      </c>
      <c r="H284" s="3" t="str">
        <f>'Raw Data'!H284</f>
        <v>C1108</v>
      </c>
      <c r="I284" s="3" t="str">
        <f>'Raw Data'!I284</f>
        <v>Returning</v>
      </c>
      <c r="J284" s="3">
        <f>'Raw Data'!J284</f>
        <v>1</v>
      </c>
      <c r="K284" s="5">
        <f>'Raw Data'!K284</f>
        <v>58000</v>
      </c>
      <c r="L284" s="6">
        <f>'Raw Data'!L284</f>
        <v>0.05</v>
      </c>
      <c r="M284" s="5">
        <f>'Raw Data'!M284</f>
        <v>55100</v>
      </c>
      <c r="N284" s="5">
        <f t="shared" si="20"/>
        <v>55100</v>
      </c>
      <c r="O284" s="5">
        <f>'Raw Data'!N284</f>
        <v>39000</v>
      </c>
      <c r="P284" s="5">
        <f>IF(ISBLANK('Raw Data'!N284),AVERAGEIFS('Raw Data'!$N$2:$N$433,'Raw Data'!$G$2:$G$433,G284),'Raw Data'!N284)</f>
        <v>39000</v>
      </c>
      <c r="Q284" s="5">
        <f t="shared" si="21"/>
        <v>39000</v>
      </c>
      <c r="R284" s="5">
        <f t="shared" si="22"/>
        <v>16100</v>
      </c>
      <c r="S284" s="3" t="str">
        <f>'Raw Data'!O284</f>
        <v>No</v>
      </c>
      <c r="T284" s="3" t="str">
        <f>'Raw Data'!P284</f>
        <v>Bola</v>
      </c>
      <c r="U284" s="3" t="str">
        <f t="shared" si="23"/>
        <v>August</v>
      </c>
      <c r="V284" s="11">
        <f t="shared" si="24"/>
        <v>0</v>
      </c>
    </row>
    <row r="285" spans="1:22" x14ac:dyDescent="0.25">
      <c r="A285" s="3">
        <f>'Raw Data'!A285</f>
        <v>100284</v>
      </c>
      <c r="B285" s="4">
        <f>'Raw Data'!B285</f>
        <v>46245</v>
      </c>
      <c r="C285" s="3" t="str">
        <f>'Raw Data'!C285</f>
        <v>AB-02</v>
      </c>
      <c r="D285" s="3" t="str">
        <f>PROPER(TRIM('Raw Data'!D285))</f>
        <v>Abuja</v>
      </c>
      <c r="E285" s="3" t="str">
        <f>'Raw Data'!E285</f>
        <v>In-store</v>
      </c>
      <c r="F285" s="3" t="str">
        <f>IF(PROPER(TRIM('Raw Data'!F285))="Accessory","Accessories",PROPER(TRIM('Raw Data'!F285)))</f>
        <v>Home</v>
      </c>
      <c r="G285" s="3" t="str">
        <f>'Raw Data'!G285</f>
        <v>Electric Kettle</v>
      </c>
      <c r="H285" s="3" t="str">
        <f>'Raw Data'!H285</f>
        <v>C1115</v>
      </c>
      <c r="I285" s="3" t="str">
        <f>'Raw Data'!I285</f>
        <v>New</v>
      </c>
      <c r="J285" s="3">
        <f>'Raw Data'!J285</f>
        <v>4</v>
      </c>
      <c r="K285" s="5">
        <f>'Raw Data'!K285</f>
        <v>24000</v>
      </c>
      <c r="L285" s="6">
        <f>'Raw Data'!L285</f>
        <v>0.1</v>
      </c>
      <c r="M285" s="5">
        <f>'Raw Data'!M285</f>
        <v>95040</v>
      </c>
      <c r="N285" s="5">
        <f t="shared" si="20"/>
        <v>86400</v>
      </c>
      <c r="O285" s="5">
        <f>'Raw Data'!N285</f>
        <v>15000</v>
      </c>
      <c r="P285" s="5">
        <f>IF(ISBLANK('Raw Data'!N285),AVERAGEIFS('Raw Data'!$N$2:$N$433,'Raw Data'!$G$2:$G$433,G285),'Raw Data'!N285)</f>
        <v>15000</v>
      </c>
      <c r="Q285" s="5">
        <f t="shared" si="21"/>
        <v>60000</v>
      </c>
      <c r="R285" s="5">
        <f t="shared" si="22"/>
        <v>26400</v>
      </c>
      <c r="S285" s="3" t="str">
        <f>'Raw Data'!O285</f>
        <v>No</v>
      </c>
      <c r="T285" s="3" t="str">
        <f>'Raw Data'!P285</f>
        <v>Fatima</v>
      </c>
      <c r="U285" s="3" t="str">
        <f t="shared" si="23"/>
        <v>August</v>
      </c>
      <c r="V285" s="11">
        <f t="shared" si="24"/>
        <v>0</v>
      </c>
    </row>
    <row r="286" spans="1:22" x14ac:dyDescent="0.25">
      <c r="A286" s="3">
        <f>'Raw Data'!A286</f>
        <v>100285</v>
      </c>
      <c r="B286" s="4">
        <f>'Raw Data'!B286</f>
        <v>46221</v>
      </c>
      <c r="C286" s="3" t="str">
        <f>'Raw Data'!C286</f>
        <v>KN-01</v>
      </c>
      <c r="D286" s="3" t="str">
        <f>PROPER(TRIM('Raw Data'!D286))</f>
        <v>Kano</v>
      </c>
      <c r="E286" s="3" t="str">
        <f>'Raw Data'!E286</f>
        <v>Online</v>
      </c>
      <c r="F286" s="3" t="str">
        <f>IF(PROPER(TRIM('Raw Data'!F286))="Accessory","Accessories",PROPER(TRIM('Raw Data'!F286)))</f>
        <v>Home</v>
      </c>
      <c r="G286" s="3" t="str">
        <f>'Raw Data'!G286</f>
        <v>Electric Kettle</v>
      </c>
      <c r="H286" s="3" t="str">
        <f>'Raw Data'!H286</f>
        <v>C1172</v>
      </c>
      <c r="I286" s="3" t="str">
        <f>'Raw Data'!I286</f>
        <v>Returning</v>
      </c>
      <c r="J286" s="3">
        <f>'Raw Data'!J286</f>
        <v>1</v>
      </c>
      <c r="K286" s="5">
        <f>'Raw Data'!K286</f>
        <v>24000</v>
      </c>
      <c r="L286" s="6">
        <f>'Raw Data'!L286</f>
        <v>0.05</v>
      </c>
      <c r="M286" s="5">
        <f>'Raw Data'!M286</f>
        <v>22800</v>
      </c>
      <c r="N286" s="5">
        <f t="shared" si="20"/>
        <v>22800</v>
      </c>
      <c r="O286" s="5">
        <f>'Raw Data'!N286</f>
        <v>15000</v>
      </c>
      <c r="P286" s="5">
        <f>IF(ISBLANK('Raw Data'!N286),AVERAGEIFS('Raw Data'!$N$2:$N$433,'Raw Data'!$G$2:$G$433,G286),'Raw Data'!N286)</f>
        <v>15000</v>
      </c>
      <c r="Q286" s="5">
        <f t="shared" si="21"/>
        <v>15000</v>
      </c>
      <c r="R286" s="5">
        <f t="shared" si="22"/>
        <v>7800</v>
      </c>
      <c r="S286" s="3" t="str">
        <f>'Raw Data'!O286</f>
        <v>No</v>
      </c>
      <c r="T286" s="3" t="str">
        <f>'Raw Data'!P286</f>
        <v>David</v>
      </c>
      <c r="U286" s="3" t="str">
        <f t="shared" si="23"/>
        <v>July</v>
      </c>
      <c r="V286" s="11">
        <f t="shared" si="24"/>
        <v>0</v>
      </c>
    </row>
    <row r="287" spans="1:22" x14ac:dyDescent="0.25">
      <c r="A287" s="3">
        <f>'Raw Data'!A287</f>
        <v>100286</v>
      </c>
      <c r="B287" s="4">
        <f>'Raw Data'!B287</f>
        <v>46097</v>
      </c>
      <c r="C287" s="3" t="str">
        <f>'Raw Data'!C287</f>
        <v>KN-01</v>
      </c>
      <c r="D287" s="3" t="str">
        <f>PROPER(TRIM('Raw Data'!D287))</f>
        <v>Kano</v>
      </c>
      <c r="E287" s="3" t="str">
        <f>'Raw Data'!E287</f>
        <v>Online</v>
      </c>
      <c r="F287" s="3" t="str">
        <f>IF(PROPER(TRIM('Raw Data'!F287))="Accessory","Accessories",PROPER(TRIM('Raw Data'!F287)))</f>
        <v>Accessories</v>
      </c>
      <c r="G287" s="3" t="str">
        <f>'Raw Data'!G287</f>
        <v>Phone Case</v>
      </c>
      <c r="H287" s="3" t="str">
        <f>'Raw Data'!H287</f>
        <v>C1130</v>
      </c>
      <c r="I287" s="3" t="str">
        <f>'Raw Data'!I287</f>
        <v>Returning</v>
      </c>
      <c r="J287" s="3">
        <f>'Raw Data'!J287</f>
        <v>1</v>
      </c>
      <c r="K287" s="5">
        <f>'Raw Data'!K287</f>
        <v>9000</v>
      </c>
      <c r="L287" s="6">
        <f>'Raw Data'!L287</f>
        <v>0.1</v>
      </c>
      <c r="M287" s="5">
        <f>'Raw Data'!M287</f>
        <v>8100</v>
      </c>
      <c r="N287" s="5">
        <f t="shared" si="20"/>
        <v>8100</v>
      </c>
      <c r="O287" s="5">
        <f>'Raw Data'!N287</f>
        <v>3500</v>
      </c>
      <c r="P287" s="5">
        <f>IF(ISBLANK('Raw Data'!N287),AVERAGEIFS('Raw Data'!$N$2:$N$433,'Raw Data'!$G$2:$G$433,G287),'Raw Data'!N287)</f>
        <v>3500</v>
      </c>
      <c r="Q287" s="5">
        <f t="shared" si="21"/>
        <v>3500</v>
      </c>
      <c r="R287" s="5">
        <f t="shared" si="22"/>
        <v>4600</v>
      </c>
      <c r="S287" s="3" t="str">
        <f>'Raw Data'!O287</f>
        <v>No</v>
      </c>
      <c r="T287" s="3" t="str">
        <f>'Raw Data'!P287</f>
        <v>Aisha</v>
      </c>
      <c r="U287" s="3" t="str">
        <f t="shared" si="23"/>
        <v>March</v>
      </c>
      <c r="V287" s="11">
        <f t="shared" si="24"/>
        <v>0</v>
      </c>
    </row>
    <row r="288" spans="1:22" x14ac:dyDescent="0.25">
      <c r="A288" s="3">
        <f>'Raw Data'!A288</f>
        <v>100287</v>
      </c>
      <c r="B288" s="4">
        <f>'Raw Data'!B288</f>
        <v>46078</v>
      </c>
      <c r="C288" s="3" t="str">
        <f>'Raw Data'!C288</f>
        <v>PH-01</v>
      </c>
      <c r="D288" s="3" t="str">
        <f>PROPER(TRIM('Raw Data'!D288))</f>
        <v>Port Harcourt</v>
      </c>
      <c r="E288" s="3" t="str">
        <f>'Raw Data'!E288</f>
        <v>Online</v>
      </c>
      <c r="F288" s="3" t="str">
        <f>IF(PROPER(TRIM('Raw Data'!F288))="Accessory","Accessories",PROPER(TRIM('Raw Data'!F288)))</f>
        <v>Electronics</v>
      </c>
      <c r="G288" s="3" t="str">
        <f>'Raw Data'!G288</f>
        <v>Earbuds</v>
      </c>
      <c r="H288" s="3" t="str">
        <f>'Raw Data'!H288</f>
        <v>C1114</v>
      </c>
      <c r="I288" s="3" t="str">
        <f>'Raw Data'!I288</f>
        <v>New</v>
      </c>
      <c r="J288" s="3">
        <f>'Raw Data'!J288</f>
        <v>3</v>
      </c>
      <c r="K288" s="5">
        <f>'Raw Data'!K288</f>
        <v>32000</v>
      </c>
      <c r="L288" s="6">
        <f>'Raw Data'!L288</f>
        <v>0.05</v>
      </c>
      <c r="M288" s="5">
        <f>'Raw Data'!M288</f>
        <v>91200</v>
      </c>
      <c r="N288" s="5">
        <f t="shared" si="20"/>
        <v>91200</v>
      </c>
      <c r="O288" s="5">
        <f>'Raw Data'!N288</f>
        <v>19000</v>
      </c>
      <c r="P288" s="5">
        <f>IF(ISBLANK('Raw Data'!N288),AVERAGEIFS('Raw Data'!$N$2:$N$433,'Raw Data'!$G$2:$G$433,G288),'Raw Data'!N288)</f>
        <v>19000</v>
      </c>
      <c r="Q288" s="5">
        <f t="shared" si="21"/>
        <v>57000</v>
      </c>
      <c r="R288" s="5">
        <f t="shared" si="22"/>
        <v>34200</v>
      </c>
      <c r="S288" s="3" t="str">
        <f>'Raw Data'!O288</f>
        <v>No</v>
      </c>
      <c r="T288" s="3" t="str">
        <f>'Raw Data'!P288</f>
        <v>Grace</v>
      </c>
      <c r="U288" s="3" t="str">
        <f t="shared" si="23"/>
        <v>February</v>
      </c>
      <c r="V288" s="11">
        <f t="shared" si="24"/>
        <v>0</v>
      </c>
    </row>
    <row r="289" spans="1:22" x14ac:dyDescent="0.25">
      <c r="A289" s="3">
        <f>'Raw Data'!A289</f>
        <v>100288</v>
      </c>
      <c r="B289" s="4">
        <f>'Raw Data'!B289</f>
        <v>46177</v>
      </c>
      <c r="C289" s="3" t="str">
        <f>'Raw Data'!C289</f>
        <v>IB-01</v>
      </c>
      <c r="D289" s="3" t="str">
        <f>PROPER(TRIM('Raw Data'!D289))</f>
        <v>Ibadan</v>
      </c>
      <c r="E289" s="3" t="str">
        <f>'Raw Data'!E289</f>
        <v>In-store</v>
      </c>
      <c r="F289" s="3" t="str">
        <f>IF(PROPER(TRIM('Raw Data'!F289))="Accessory","Accessories",PROPER(TRIM('Raw Data'!F289)))</f>
        <v>Electronics</v>
      </c>
      <c r="G289" s="3" t="str">
        <f>'Raw Data'!G289</f>
        <v>Power Bank</v>
      </c>
      <c r="H289" s="3" t="str">
        <f>'Raw Data'!H289</f>
        <v>C1062</v>
      </c>
      <c r="I289" s="3" t="str">
        <f>'Raw Data'!I289</f>
        <v>Returning</v>
      </c>
      <c r="J289" s="3">
        <f>'Raw Data'!J289</f>
        <v>1</v>
      </c>
      <c r="K289" s="5">
        <f>'Raw Data'!K289</f>
        <v>26000</v>
      </c>
      <c r="L289" s="6">
        <f>'Raw Data'!L289</f>
        <v>0.05</v>
      </c>
      <c r="M289" s="5">
        <f>'Raw Data'!M289</f>
        <v>24700</v>
      </c>
      <c r="N289" s="5">
        <f t="shared" si="20"/>
        <v>24700</v>
      </c>
      <c r="O289" s="5">
        <f>'Raw Data'!N289</f>
        <v>15000</v>
      </c>
      <c r="P289" s="5">
        <f>IF(ISBLANK('Raw Data'!N289),AVERAGEIFS('Raw Data'!$N$2:$N$433,'Raw Data'!$G$2:$G$433,G289),'Raw Data'!N289)</f>
        <v>15000</v>
      </c>
      <c r="Q289" s="5">
        <f t="shared" si="21"/>
        <v>15000</v>
      </c>
      <c r="R289" s="5">
        <f t="shared" si="22"/>
        <v>9700</v>
      </c>
      <c r="S289" s="3" t="str">
        <f>'Raw Data'!O289</f>
        <v>No</v>
      </c>
      <c r="T289" s="3" t="str">
        <f>'Raw Data'!P289</f>
        <v>Chinedu</v>
      </c>
      <c r="U289" s="3" t="str">
        <f t="shared" si="23"/>
        <v>June</v>
      </c>
      <c r="V289" s="11">
        <f t="shared" si="24"/>
        <v>0</v>
      </c>
    </row>
    <row r="290" spans="1:22" x14ac:dyDescent="0.25">
      <c r="A290" s="3">
        <f>'Raw Data'!A290</f>
        <v>100289</v>
      </c>
      <c r="B290" s="4">
        <f>'Raw Data'!B290</f>
        <v>46224</v>
      </c>
      <c r="C290" s="3" t="str">
        <f>'Raw Data'!C290</f>
        <v>LG-01</v>
      </c>
      <c r="D290" s="3" t="str">
        <f>PROPER(TRIM('Raw Data'!D290))</f>
        <v>Lagos</v>
      </c>
      <c r="E290" s="3" t="str">
        <f>'Raw Data'!E290</f>
        <v>In-store</v>
      </c>
      <c r="F290" s="3" t="str">
        <f>IF(PROPER(TRIM('Raw Data'!F290))="Accessory","Accessories",PROPER(TRIM('Raw Data'!F290)))</f>
        <v>Electronics</v>
      </c>
      <c r="G290" s="3" t="str">
        <f>'Raw Data'!G290</f>
        <v>Earbuds</v>
      </c>
      <c r="H290" s="3" t="str">
        <f>'Raw Data'!H290</f>
        <v>C1057</v>
      </c>
      <c r="I290" s="3" t="str">
        <f>'Raw Data'!I290</f>
        <v>New</v>
      </c>
      <c r="J290" s="3">
        <f>'Raw Data'!J290</f>
        <v>3</v>
      </c>
      <c r="K290" s="5">
        <f>'Raw Data'!K290</f>
        <v>32000</v>
      </c>
      <c r="L290" s="6">
        <f>'Raw Data'!L290</f>
        <v>0.1</v>
      </c>
      <c r="M290" s="5">
        <f>'Raw Data'!M290</f>
        <v>86400</v>
      </c>
      <c r="N290" s="5">
        <f t="shared" si="20"/>
        <v>86400</v>
      </c>
      <c r="O290" s="5">
        <f>'Raw Data'!N290</f>
        <v>19000</v>
      </c>
      <c r="P290" s="5">
        <f>IF(ISBLANK('Raw Data'!N290),AVERAGEIFS('Raw Data'!$N$2:$N$433,'Raw Data'!$G$2:$G$433,G290),'Raw Data'!N290)</f>
        <v>19000</v>
      </c>
      <c r="Q290" s="5">
        <f t="shared" si="21"/>
        <v>57000</v>
      </c>
      <c r="R290" s="5">
        <f t="shared" si="22"/>
        <v>29400</v>
      </c>
      <c r="S290" s="3" t="str">
        <f>'Raw Data'!O290</f>
        <v>No</v>
      </c>
      <c r="T290" s="3" t="str">
        <f>'Raw Data'!P290</f>
        <v>David</v>
      </c>
      <c r="U290" s="3" t="str">
        <f t="shared" si="23"/>
        <v>July</v>
      </c>
      <c r="V290" s="11">
        <f t="shared" si="24"/>
        <v>0</v>
      </c>
    </row>
    <row r="291" spans="1:22" x14ac:dyDescent="0.25">
      <c r="A291" s="3">
        <f>'Raw Data'!A291</f>
        <v>100290</v>
      </c>
      <c r="B291" s="4">
        <f>'Raw Data'!B291</f>
        <v>46116</v>
      </c>
      <c r="C291" s="3" t="str">
        <f>'Raw Data'!C291</f>
        <v>LG-01</v>
      </c>
      <c r="D291" s="3" t="str">
        <f>PROPER(TRIM('Raw Data'!D291))</f>
        <v>Lagos</v>
      </c>
      <c r="E291" s="3" t="str">
        <f>'Raw Data'!E291</f>
        <v>In-store</v>
      </c>
      <c r="F291" s="3" t="str">
        <f>IF(PROPER(TRIM('Raw Data'!F291))="Accessory","Accessories",PROPER(TRIM('Raw Data'!F291)))</f>
        <v>Electronics</v>
      </c>
      <c r="G291" s="3" t="str">
        <f>'Raw Data'!G291</f>
        <v>Earbuds</v>
      </c>
      <c r="H291" s="3" t="str">
        <f>'Raw Data'!H291</f>
        <v>C1083</v>
      </c>
      <c r="I291" s="3" t="str">
        <f>'Raw Data'!I291</f>
        <v>Returning</v>
      </c>
      <c r="J291" s="3">
        <f>'Raw Data'!J291</f>
        <v>5</v>
      </c>
      <c r="K291" s="5">
        <f>'Raw Data'!K291</f>
        <v>32000</v>
      </c>
      <c r="L291" s="6">
        <f>'Raw Data'!L291</f>
        <v>0.15</v>
      </c>
      <c r="M291" s="5">
        <f>'Raw Data'!M291</f>
        <v>136000</v>
      </c>
      <c r="N291" s="5">
        <f t="shared" si="20"/>
        <v>136000</v>
      </c>
      <c r="O291" s="5">
        <f>'Raw Data'!N291</f>
        <v>19000</v>
      </c>
      <c r="P291" s="5">
        <f>IF(ISBLANK('Raw Data'!N291),AVERAGEIFS('Raw Data'!$N$2:$N$433,'Raw Data'!$G$2:$G$433,G291),'Raw Data'!N291)</f>
        <v>19000</v>
      </c>
      <c r="Q291" s="5">
        <f t="shared" si="21"/>
        <v>95000</v>
      </c>
      <c r="R291" s="5">
        <f t="shared" si="22"/>
        <v>41000</v>
      </c>
      <c r="S291" s="3" t="str">
        <f>'Raw Data'!O291</f>
        <v>No</v>
      </c>
      <c r="T291" s="3" t="str">
        <f>'Raw Data'!P291</f>
        <v>Ibrahim</v>
      </c>
      <c r="U291" s="3" t="str">
        <f t="shared" si="23"/>
        <v>April</v>
      </c>
      <c r="V291" s="11">
        <f t="shared" si="24"/>
        <v>0</v>
      </c>
    </row>
    <row r="292" spans="1:22" x14ac:dyDescent="0.25">
      <c r="A292" s="3">
        <f>'Raw Data'!A292</f>
        <v>100291</v>
      </c>
      <c r="B292" s="4">
        <f>'Raw Data'!B292</f>
        <v>46110</v>
      </c>
      <c r="C292" s="3" t="str">
        <f>'Raw Data'!C292</f>
        <v>IB-01</v>
      </c>
      <c r="D292" s="3" t="str">
        <f>PROPER(TRIM('Raw Data'!D292))</f>
        <v>Ibadan</v>
      </c>
      <c r="E292" s="3" t="str">
        <f>'Raw Data'!E292</f>
        <v>In-store</v>
      </c>
      <c r="F292" s="3" t="str">
        <f>IF(PROPER(TRIM('Raw Data'!F292))="Accessory","Accessories",PROPER(TRIM('Raw Data'!F292)))</f>
        <v>Electronics</v>
      </c>
      <c r="G292" s="3" t="str">
        <f>'Raw Data'!G292</f>
        <v>Earbuds</v>
      </c>
      <c r="H292" s="3" t="str">
        <f>'Raw Data'!H292</f>
        <v>C1073</v>
      </c>
      <c r="I292" s="3" t="str">
        <f>'Raw Data'!I292</f>
        <v>Returning</v>
      </c>
      <c r="J292" s="3">
        <f>'Raw Data'!J292</f>
        <v>1</v>
      </c>
      <c r="K292" s="5">
        <f>'Raw Data'!K292</f>
        <v>32000</v>
      </c>
      <c r="L292" s="6">
        <f>'Raw Data'!L292</f>
        <v>0.1</v>
      </c>
      <c r="M292" s="5">
        <f>'Raw Data'!M292</f>
        <v>28800</v>
      </c>
      <c r="N292" s="5">
        <f t="shared" si="20"/>
        <v>28800</v>
      </c>
      <c r="O292" s="5">
        <f>'Raw Data'!N292</f>
        <v>19000</v>
      </c>
      <c r="P292" s="5">
        <f>IF(ISBLANK('Raw Data'!N292),AVERAGEIFS('Raw Data'!$N$2:$N$433,'Raw Data'!$G$2:$G$433,G292),'Raw Data'!N292)</f>
        <v>19000</v>
      </c>
      <c r="Q292" s="5">
        <f t="shared" si="21"/>
        <v>19000</v>
      </c>
      <c r="R292" s="5">
        <f t="shared" si="22"/>
        <v>9800</v>
      </c>
      <c r="S292" s="3" t="str">
        <f>'Raw Data'!O292</f>
        <v>No</v>
      </c>
      <c r="T292" s="3" t="str">
        <f>'Raw Data'!P292</f>
        <v>Fatima</v>
      </c>
      <c r="U292" s="3" t="str">
        <f t="shared" si="23"/>
        <v>March</v>
      </c>
      <c r="V292" s="11">
        <f t="shared" si="24"/>
        <v>0</v>
      </c>
    </row>
    <row r="293" spans="1:22" x14ac:dyDescent="0.25">
      <c r="A293" s="3">
        <f>'Raw Data'!A293</f>
        <v>100292</v>
      </c>
      <c r="B293" s="4">
        <f>'Raw Data'!B293</f>
        <v>46130</v>
      </c>
      <c r="C293" s="3" t="str">
        <f>'Raw Data'!C293</f>
        <v>LG-02</v>
      </c>
      <c r="D293" s="3" t="str">
        <f>PROPER(TRIM('Raw Data'!D293))</f>
        <v>Lagos</v>
      </c>
      <c r="E293" s="3" t="str">
        <f>'Raw Data'!E293</f>
        <v>WhatsApp</v>
      </c>
      <c r="F293" s="3" t="str">
        <f>IF(PROPER(TRIM('Raw Data'!F293))="Accessory","Accessories",PROPER(TRIM('Raw Data'!F293)))</f>
        <v>Electronics</v>
      </c>
      <c r="G293" s="3" t="str">
        <f>'Raw Data'!G293</f>
        <v>Smartphone</v>
      </c>
      <c r="H293" s="3" t="str">
        <f>'Raw Data'!H293</f>
        <v>C1138</v>
      </c>
      <c r="I293" s="3" t="str">
        <f>'Raw Data'!I293</f>
        <v>Returning</v>
      </c>
      <c r="J293" s="3">
        <f>'Raw Data'!J293</f>
        <v>1</v>
      </c>
      <c r="K293" s="5">
        <f>'Raw Data'!K293</f>
        <v>165000</v>
      </c>
      <c r="L293" s="6">
        <f>'Raw Data'!L293</f>
        <v>0.15</v>
      </c>
      <c r="M293" s="5">
        <f>'Raw Data'!M293</f>
        <v>140250</v>
      </c>
      <c r="N293" s="5">
        <f t="shared" si="20"/>
        <v>140250</v>
      </c>
      <c r="O293" s="5">
        <f>'Raw Data'!N293</f>
        <v>112000</v>
      </c>
      <c r="P293" s="5">
        <f>IF(ISBLANK('Raw Data'!N293),AVERAGEIFS('Raw Data'!$N$2:$N$433,'Raw Data'!$G$2:$G$433,G293),'Raw Data'!N293)</f>
        <v>112000</v>
      </c>
      <c r="Q293" s="5">
        <f t="shared" si="21"/>
        <v>112000</v>
      </c>
      <c r="R293" s="5">
        <f t="shared" si="22"/>
        <v>28250</v>
      </c>
      <c r="S293" s="3" t="str">
        <f>'Raw Data'!O293</f>
        <v>No</v>
      </c>
      <c r="T293" s="3" t="str">
        <f>'Raw Data'!P293</f>
        <v>Ibrahim</v>
      </c>
      <c r="U293" s="3" t="str">
        <f t="shared" si="23"/>
        <v>April</v>
      </c>
      <c r="V293" s="11">
        <f t="shared" si="24"/>
        <v>0</v>
      </c>
    </row>
    <row r="294" spans="1:22" x14ac:dyDescent="0.25">
      <c r="A294" s="3">
        <f>'Raw Data'!A294</f>
        <v>100293</v>
      </c>
      <c r="B294" s="4">
        <f>'Raw Data'!B294</f>
        <v>46122</v>
      </c>
      <c r="C294" s="3" t="str">
        <f>'Raw Data'!C294</f>
        <v>PH-01</v>
      </c>
      <c r="D294" s="3" t="str">
        <f>PROPER(TRIM('Raw Data'!D294))</f>
        <v>Port Harcourt</v>
      </c>
      <c r="E294" s="3" t="str">
        <f>'Raw Data'!E294</f>
        <v>WhatsApp</v>
      </c>
      <c r="F294" s="3" t="str">
        <f>IF(PROPER(TRIM('Raw Data'!F294))="Accessory","Accessories",PROPER(TRIM('Raw Data'!F294)))</f>
        <v>Accessories</v>
      </c>
      <c r="G294" s="3" t="str">
        <f>'Raw Data'!G294</f>
        <v>Backpack</v>
      </c>
      <c r="H294" s="3" t="str">
        <f>'Raw Data'!H294</f>
        <v>C1150</v>
      </c>
      <c r="I294" s="3" t="str">
        <f>'Raw Data'!I294</f>
        <v>New</v>
      </c>
      <c r="J294" s="3">
        <f>'Raw Data'!J294</f>
        <v>2</v>
      </c>
      <c r="K294" s="5">
        <f>'Raw Data'!K294</f>
        <v>28000</v>
      </c>
      <c r="L294" s="6">
        <f>'Raw Data'!L294</f>
        <v>0</v>
      </c>
      <c r="M294" s="5">
        <f>'Raw Data'!M294</f>
        <v>56000</v>
      </c>
      <c r="N294" s="5">
        <f t="shared" si="20"/>
        <v>56000</v>
      </c>
      <c r="O294" s="5">
        <f>'Raw Data'!N294</f>
        <v>16000</v>
      </c>
      <c r="P294" s="5">
        <f>IF(ISBLANK('Raw Data'!N294),AVERAGEIFS('Raw Data'!$N$2:$N$433,'Raw Data'!$G$2:$G$433,G294),'Raw Data'!N294)</f>
        <v>16000</v>
      </c>
      <c r="Q294" s="5">
        <f t="shared" si="21"/>
        <v>32000</v>
      </c>
      <c r="R294" s="5">
        <f t="shared" si="22"/>
        <v>24000</v>
      </c>
      <c r="S294" s="3" t="str">
        <f>'Raw Data'!O294</f>
        <v>No</v>
      </c>
      <c r="T294" s="3" t="str">
        <f>'Raw Data'!P294</f>
        <v>Bola</v>
      </c>
      <c r="U294" s="3" t="str">
        <f t="shared" si="23"/>
        <v>April</v>
      </c>
      <c r="V294" s="11">
        <f t="shared" si="24"/>
        <v>0</v>
      </c>
    </row>
    <row r="295" spans="1:22" x14ac:dyDescent="0.25">
      <c r="A295" s="3">
        <f>'Raw Data'!A295</f>
        <v>100294</v>
      </c>
      <c r="B295" s="4">
        <f>'Raw Data'!B295</f>
        <v>46223</v>
      </c>
      <c r="C295" s="3" t="str">
        <f>'Raw Data'!C295</f>
        <v>IB-01</v>
      </c>
      <c r="D295" s="3" t="str">
        <f>PROPER(TRIM('Raw Data'!D295))</f>
        <v>Ibadan</v>
      </c>
      <c r="E295" s="3" t="str">
        <f>'Raw Data'!E295</f>
        <v>In-store</v>
      </c>
      <c r="F295" s="3" t="str">
        <f>IF(PROPER(TRIM('Raw Data'!F295))="Accessory","Accessories",PROPER(TRIM('Raw Data'!F295)))</f>
        <v>Electronics</v>
      </c>
      <c r="G295" s="3" t="str">
        <f>'Raw Data'!G295</f>
        <v>Power Bank</v>
      </c>
      <c r="H295" s="3" t="str">
        <f>'Raw Data'!H295</f>
        <v>C1041</v>
      </c>
      <c r="I295" s="3" t="str">
        <f>'Raw Data'!I295</f>
        <v>New</v>
      </c>
      <c r="J295" s="3">
        <f>'Raw Data'!J295</f>
        <v>3</v>
      </c>
      <c r="K295" s="5">
        <f>'Raw Data'!K295</f>
        <v>26000</v>
      </c>
      <c r="L295" s="6">
        <f>'Raw Data'!L295</f>
        <v>0.1</v>
      </c>
      <c r="M295" s="5">
        <f>'Raw Data'!M295</f>
        <v>63180</v>
      </c>
      <c r="N295" s="5">
        <f t="shared" si="20"/>
        <v>70200</v>
      </c>
      <c r="O295" s="5">
        <f>'Raw Data'!N295</f>
        <v>15000</v>
      </c>
      <c r="P295" s="5">
        <f>IF(ISBLANK('Raw Data'!N295),AVERAGEIFS('Raw Data'!$N$2:$N$433,'Raw Data'!$G$2:$G$433,G295),'Raw Data'!N295)</f>
        <v>15000</v>
      </c>
      <c r="Q295" s="5">
        <f t="shared" si="21"/>
        <v>45000</v>
      </c>
      <c r="R295" s="5">
        <f t="shared" si="22"/>
        <v>25200</v>
      </c>
      <c r="S295" s="3" t="str">
        <f>'Raw Data'!O295</f>
        <v>No</v>
      </c>
      <c r="T295" s="3" t="str">
        <f>'Raw Data'!P295</f>
        <v>Fatima</v>
      </c>
      <c r="U295" s="3" t="str">
        <f t="shared" si="23"/>
        <v>July</v>
      </c>
      <c r="V295" s="11">
        <f t="shared" si="24"/>
        <v>0</v>
      </c>
    </row>
    <row r="296" spans="1:22" x14ac:dyDescent="0.25">
      <c r="A296" s="3">
        <f>'Raw Data'!A296</f>
        <v>100295</v>
      </c>
      <c r="B296" s="4">
        <f>'Raw Data'!B296</f>
        <v>46066</v>
      </c>
      <c r="C296" s="3" t="str">
        <f>'Raw Data'!C296</f>
        <v>IB-01</v>
      </c>
      <c r="D296" s="3" t="str">
        <f>PROPER(TRIM('Raw Data'!D296))</f>
        <v>Ibadan</v>
      </c>
      <c r="E296" s="3" t="str">
        <f>'Raw Data'!E296</f>
        <v>WhatsApp</v>
      </c>
      <c r="F296" s="3" t="str">
        <f>IF(PROPER(TRIM('Raw Data'!F296))="Accessory","Accessories",PROPER(TRIM('Raw Data'!F296)))</f>
        <v>Electronics</v>
      </c>
      <c r="G296" s="3" t="str">
        <f>'Raw Data'!G296</f>
        <v>Earbuds</v>
      </c>
      <c r="H296" s="3" t="str">
        <f>'Raw Data'!H296</f>
        <v>C1010</v>
      </c>
      <c r="I296" s="3" t="str">
        <f>'Raw Data'!I296</f>
        <v>New</v>
      </c>
      <c r="J296" s="3">
        <f>'Raw Data'!J296</f>
        <v>1</v>
      </c>
      <c r="K296" s="5">
        <f>'Raw Data'!K296</f>
        <v>32000</v>
      </c>
      <c r="L296" s="6">
        <f>'Raw Data'!L296</f>
        <v>0.15</v>
      </c>
      <c r="M296" s="5">
        <f>'Raw Data'!M296</f>
        <v>27200</v>
      </c>
      <c r="N296" s="5">
        <f t="shared" si="20"/>
        <v>27200</v>
      </c>
      <c r="O296" s="5">
        <f>'Raw Data'!N296</f>
        <v>19000</v>
      </c>
      <c r="P296" s="5">
        <f>IF(ISBLANK('Raw Data'!N296),AVERAGEIFS('Raw Data'!$N$2:$N$433,'Raw Data'!$G$2:$G$433,G296),'Raw Data'!N296)</f>
        <v>19000</v>
      </c>
      <c r="Q296" s="5">
        <f t="shared" si="21"/>
        <v>19000</v>
      </c>
      <c r="R296" s="5">
        <f t="shared" si="22"/>
        <v>8200</v>
      </c>
      <c r="S296" s="3" t="str">
        <f>'Raw Data'!O296</f>
        <v>Yes</v>
      </c>
      <c r="T296" s="3" t="str">
        <f>'Raw Data'!P296</f>
        <v>Kemi</v>
      </c>
      <c r="U296" s="3" t="str">
        <f t="shared" si="23"/>
        <v>February</v>
      </c>
      <c r="V296" s="11">
        <f t="shared" si="24"/>
        <v>1</v>
      </c>
    </row>
    <row r="297" spans="1:22" x14ac:dyDescent="0.25">
      <c r="A297" s="3">
        <f>'Raw Data'!A297</f>
        <v>100296</v>
      </c>
      <c r="B297" s="4">
        <f>'Raw Data'!B297</f>
        <v>46138</v>
      </c>
      <c r="C297" s="3" t="str">
        <f>'Raw Data'!C297</f>
        <v>IB-01</v>
      </c>
      <c r="D297" s="3" t="str">
        <f>PROPER(TRIM('Raw Data'!D297))</f>
        <v>Ibadan</v>
      </c>
      <c r="E297" s="3" t="str">
        <f>'Raw Data'!E297</f>
        <v>WhatsApp</v>
      </c>
      <c r="F297" s="3" t="str">
        <f>IF(PROPER(TRIM('Raw Data'!F297))="Accessory","Accessories",PROPER(TRIM('Raw Data'!F297)))</f>
        <v>Electronics</v>
      </c>
      <c r="G297" s="3" t="str">
        <f>'Raw Data'!G297</f>
        <v>Earbuds</v>
      </c>
      <c r="H297" s="3" t="str">
        <f>'Raw Data'!H297</f>
        <v>C1170</v>
      </c>
      <c r="I297" s="3" t="str">
        <f>'Raw Data'!I297</f>
        <v>New</v>
      </c>
      <c r="J297" s="3">
        <f>'Raw Data'!J297</f>
        <v>2</v>
      </c>
      <c r="K297" s="5">
        <f>'Raw Data'!K297</f>
        <v>32000</v>
      </c>
      <c r="L297" s="6">
        <f>'Raw Data'!L297</f>
        <v>0.05</v>
      </c>
      <c r="M297" s="5">
        <f>'Raw Data'!M297</f>
        <v>72960</v>
      </c>
      <c r="N297" s="5">
        <f t="shared" si="20"/>
        <v>60800</v>
      </c>
      <c r="O297" s="3">
        <f>'Raw Data'!N297</f>
        <v>0</v>
      </c>
      <c r="P297" s="5">
        <f>IF(ISBLANK('Raw Data'!N297),AVERAGEIFS('Raw Data'!$N$2:$N$433,'Raw Data'!$G$2:$G$433,G297),'Raw Data'!N297)</f>
        <v>19000</v>
      </c>
      <c r="Q297" s="5">
        <f t="shared" si="21"/>
        <v>38000</v>
      </c>
      <c r="R297" s="5">
        <f t="shared" si="22"/>
        <v>22800</v>
      </c>
      <c r="S297" s="3" t="str">
        <f>'Raw Data'!O297</f>
        <v>Yes</v>
      </c>
      <c r="T297" s="3" t="str">
        <f>'Raw Data'!P297</f>
        <v>Bola</v>
      </c>
      <c r="U297" s="3" t="str">
        <f t="shared" si="23"/>
        <v>April</v>
      </c>
      <c r="V297" s="11">
        <f t="shared" si="24"/>
        <v>1</v>
      </c>
    </row>
    <row r="298" spans="1:22" x14ac:dyDescent="0.25">
      <c r="A298" s="3">
        <f>'Raw Data'!A298</f>
        <v>100297</v>
      </c>
      <c r="B298" s="4">
        <f>'Raw Data'!B298</f>
        <v>46038</v>
      </c>
      <c r="C298" s="3" t="str">
        <f>'Raw Data'!C298</f>
        <v>IB-01</v>
      </c>
      <c r="D298" s="3" t="str">
        <f>PROPER(TRIM('Raw Data'!D298))</f>
        <v>Ibadan</v>
      </c>
      <c r="E298" s="3" t="str">
        <f>'Raw Data'!E298</f>
        <v>Online</v>
      </c>
      <c r="F298" s="3" t="str">
        <f>IF(PROPER(TRIM('Raw Data'!F298))="Accessory","Accessories",PROPER(TRIM('Raw Data'!F298)))</f>
        <v>Home</v>
      </c>
      <c r="G298" s="3" t="str">
        <f>'Raw Data'!G298</f>
        <v>Standing Fan</v>
      </c>
      <c r="H298" s="3" t="str">
        <f>'Raw Data'!H298</f>
        <v>C1082</v>
      </c>
      <c r="I298" s="3" t="str">
        <f>'Raw Data'!I298</f>
        <v>New</v>
      </c>
      <c r="J298" s="3">
        <f>'Raw Data'!J298</f>
        <v>1</v>
      </c>
      <c r="K298" s="5">
        <f>'Raw Data'!K298</f>
        <v>58000</v>
      </c>
      <c r="L298" s="6">
        <f>'Raw Data'!L298</f>
        <v>0</v>
      </c>
      <c r="M298" s="5">
        <f>'Raw Data'!M298</f>
        <v>58000</v>
      </c>
      <c r="N298" s="5">
        <f t="shared" si="20"/>
        <v>58000</v>
      </c>
      <c r="O298" s="5">
        <f>'Raw Data'!N298</f>
        <v>39000</v>
      </c>
      <c r="P298" s="5">
        <f>IF(ISBLANK('Raw Data'!N298),AVERAGEIFS('Raw Data'!$N$2:$N$433,'Raw Data'!$G$2:$G$433,G298),'Raw Data'!N298)</f>
        <v>39000</v>
      </c>
      <c r="Q298" s="5">
        <f t="shared" si="21"/>
        <v>39000</v>
      </c>
      <c r="R298" s="5">
        <f t="shared" si="22"/>
        <v>19000</v>
      </c>
      <c r="S298" s="3" t="str">
        <f>'Raw Data'!O298</f>
        <v>No</v>
      </c>
      <c r="T298" s="3" t="str">
        <f>'Raw Data'!P298</f>
        <v>Chinedu</v>
      </c>
      <c r="U298" s="3" t="str">
        <f t="shared" si="23"/>
        <v>January</v>
      </c>
      <c r="V298" s="11">
        <f t="shared" si="24"/>
        <v>0</v>
      </c>
    </row>
    <row r="299" spans="1:22" x14ac:dyDescent="0.25">
      <c r="A299" s="3">
        <f>'Raw Data'!A299</f>
        <v>100298</v>
      </c>
      <c r="B299" s="4">
        <f>'Raw Data'!B299</f>
        <v>46054</v>
      </c>
      <c r="C299" s="3" t="str">
        <f>'Raw Data'!C299</f>
        <v>LG-02</v>
      </c>
      <c r="D299" s="3" t="str">
        <f>PROPER(TRIM('Raw Data'!D299))</f>
        <v>Lagos</v>
      </c>
      <c r="E299" s="3" t="str">
        <f>'Raw Data'!E299</f>
        <v>Online</v>
      </c>
      <c r="F299" s="3" t="str">
        <f>IF(PROPER(TRIM('Raw Data'!F299))="Accessory","Accessories",PROPER(TRIM('Raw Data'!F299)))</f>
        <v>Electronics</v>
      </c>
      <c r="G299" s="3" t="str">
        <f>'Raw Data'!G299</f>
        <v>Power Bank</v>
      </c>
      <c r="H299" s="3" t="str">
        <f>'Raw Data'!H299</f>
        <v>C1162</v>
      </c>
      <c r="I299" s="3" t="str">
        <f>'Raw Data'!I299</f>
        <v>Returning</v>
      </c>
      <c r="J299" s="3">
        <f>'Raw Data'!J299</f>
        <v>4</v>
      </c>
      <c r="K299" s="5">
        <f>'Raw Data'!K299</f>
        <v>26000</v>
      </c>
      <c r="L299" s="6">
        <f>'Raw Data'!L299</f>
        <v>0.1</v>
      </c>
      <c r="M299" s="5">
        <f>'Raw Data'!M299</f>
        <v>93600</v>
      </c>
      <c r="N299" s="5">
        <f t="shared" si="20"/>
        <v>93600</v>
      </c>
      <c r="O299" s="5">
        <f>'Raw Data'!N299</f>
        <v>15000</v>
      </c>
      <c r="P299" s="5">
        <f>IF(ISBLANK('Raw Data'!N299),AVERAGEIFS('Raw Data'!$N$2:$N$433,'Raw Data'!$G$2:$G$433,G299),'Raw Data'!N299)</f>
        <v>15000</v>
      </c>
      <c r="Q299" s="5">
        <f t="shared" si="21"/>
        <v>60000</v>
      </c>
      <c r="R299" s="5">
        <f t="shared" si="22"/>
        <v>33600</v>
      </c>
      <c r="S299" s="3" t="str">
        <f>'Raw Data'!O299</f>
        <v>No</v>
      </c>
      <c r="T299" s="3" t="str">
        <f>'Raw Data'!P299</f>
        <v>Fatima</v>
      </c>
      <c r="U299" s="3" t="str">
        <f t="shared" si="23"/>
        <v>February</v>
      </c>
      <c r="V299" s="11">
        <f t="shared" si="24"/>
        <v>0</v>
      </c>
    </row>
    <row r="300" spans="1:22" x14ac:dyDescent="0.25">
      <c r="A300" s="3">
        <f>'Raw Data'!A300</f>
        <v>100299</v>
      </c>
      <c r="B300" s="4">
        <f>'Raw Data'!B300</f>
        <v>46209</v>
      </c>
      <c r="C300" s="3" t="str">
        <f>'Raw Data'!C300</f>
        <v>LG-01</v>
      </c>
      <c r="D300" s="3" t="str">
        <f>PROPER(TRIM('Raw Data'!D300))</f>
        <v>Lagos</v>
      </c>
      <c r="E300" s="3" t="str">
        <f>'Raw Data'!E300</f>
        <v>In-store</v>
      </c>
      <c r="F300" s="3" t="str">
        <f>IF(PROPER(TRIM('Raw Data'!F300))="Accessory","Accessories",PROPER(TRIM('Raw Data'!F300)))</f>
        <v>Accessories</v>
      </c>
      <c r="G300" s="3" t="str">
        <f>'Raw Data'!G300</f>
        <v>Backpack</v>
      </c>
      <c r="H300" s="3" t="str">
        <f>'Raw Data'!H300</f>
        <v>C1110</v>
      </c>
      <c r="I300" s="3" t="str">
        <f>'Raw Data'!I300</f>
        <v>Returning</v>
      </c>
      <c r="J300" s="3">
        <f>'Raw Data'!J300</f>
        <v>2</v>
      </c>
      <c r="K300" s="5">
        <f>'Raw Data'!K300</f>
        <v>28000</v>
      </c>
      <c r="L300" s="6">
        <f>'Raw Data'!L300</f>
        <v>0.1</v>
      </c>
      <c r="M300" s="5">
        <f>'Raw Data'!M300</f>
        <v>50400</v>
      </c>
      <c r="N300" s="5">
        <f t="shared" si="20"/>
        <v>50400</v>
      </c>
      <c r="O300" s="5">
        <f>'Raw Data'!N300</f>
        <v>16000</v>
      </c>
      <c r="P300" s="5">
        <f>IF(ISBLANK('Raw Data'!N300),AVERAGEIFS('Raw Data'!$N$2:$N$433,'Raw Data'!$G$2:$G$433,G300),'Raw Data'!N300)</f>
        <v>16000</v>
      </c>
      <c r="Q300" s="5">
        <f t="shared" si="21"/>
        <v>32000</v>
      </c>
      <c r="R300" s="5">
        <f t="shared" si="22"/>
        <v>18400</v>
      </c>
      <c r="S300" s="3" t="str">
        <f>'Raw Data'!O300</f>
        <v>No</v>
      </c>
      <c r="T300" s="3" t="str">
        <f>'Raw Data'!P300</f>
        <v>Kemi</v>
      </c>
      <c r="U300" s="3" t="str">
        <f t="shared" si="23"/>
        <v>July</v>
      </c>
      <c r="V300" s="11">
        <f t="shared" si="24"/>
        <v>0</v>
      </c>
    </row>
    <row r="301" spans="1:22" x14ac:dyDescent="0.25">
      <c r="A301" s="3">
        <f>'Raw Data'!A301</f>
        <v>100300</v>
      </c>
      <c r="B301" s="4">
        <f>'Raw Data'!B301</f>
        <v>46028</v>
      </c>
      <c r="C301" s="3" t="str">
        <f>'Raw Data'!C301</f>
        <v>PH-01</v>
      </c>
      <c r="D301" s="3" t="str">
        <f>PROPER(TRIM('Raw Data'!D301))</f>
        <v>Port Harcourt</v>
      </c>
      <c r="E301" s="3" t="str">
        <f>'Raw Data'!E301</f>
        <v>WhatsApp</v>
      </c>
      <c r="F301" s="3" t="str">
        <f>IF(PROPER(TRIM('Raw Data'!F301))="Accessory","Accessories",PROPER(TRIM('Raw Data'!F301)))</f>
        <v>Accessories</v>
      </c>
      <c r="G301" s="3" t="str">
        <f>'Raw Data'!G301</f>
        <v>USB Cable</v>
      </c>
      <c r="H301" s="3" t="str">
        <f>'Raw Data'!H301</f>
        <v>C1033</v>
      </c>
      <c r="I301" s="3" t="str">
        <f>'Raw Data'!I301</f>
        <v>New</v>
      </c>
      <c r="J301" s="3">
        <f>'Raw Data'!J301</f>
        <v>4</v>
      </c>
      <c r="K301" s="5">
        <f>'Raw Data'!K301</f>
        <v>6500</v>
      </c>
      <c r="L301" s="6">
        <f>'Raw Data'!L301</f>
        <v>0.1</v>
      </c>
      <c r="M301" s="5">
        <f>'Raw Data'!M301</f>
        <v>23400</v>
      </c>
      <c r="N301" s="5">
        <f t="shared" si="20"/>
        <v>23400</v>
      </c>
      <c r="O301" s="5">
        <f>'Raw Data'!N301</f>
        <v>2200</v>
      </c>
      <c r="P301" s="5">
        <f>IF(ISBLANK('Raw Data'!N301),AVERAGEIFS('Raw Data'!$N$2:$N$433,'Raw Data'!$G$2:$G$433,G301),'Raw Data'!N301)</f>
        <v>2200</v>
      </c>
      <c r="Q301" s="5">
        <f t="shared" si="21"/>
        <v>8800</v>
      </c>
      <c r="R301" s="5">
        <f t="shared" si="22"/>
        <v>14600</v>
      </c>
      <c r="S301" s="3" t="str">
        <f>'Raw Data'!O301</f>
        <v>No</v>
      </c>
      <c r="T301" s="3" t="str">
        <f>'Raw Data'!P301</f>
        <v>Kemi</v>
      </c>
      <c r="U301" s="3" t="str">
        <f t="shared" si="23"/>
        <v>January</v>
      </c>
      <c r="V301" s="11">
        <f t="shared" si="24"/>
        <v>0</v>
      </c>
    </row>
    <row r="302" spans="1:22" x14ac:dyDescent="0.25">
      <c r="A302" s="3">
        <f>'Raw Data'!A302</f>
        <v>100301</v>
      </c>
      <c r="B302" s="4">
        <f>'Raw Data'!B302</f>
        <v>46087</v>
      </c>
      <c r="C302" s="3" t="str">
        <f>'Raw Data'!C302</f>
        <v>LG-02</v>
      </c>
      <c r="D302" s="3" t="str">
        <f>PROPER(TRIM('Raw Data'!D302))</f>
        <v>Lagos</v>
      </c>
      <c r="E302" s="3" t="str">
        <f>'Raw Data'!E302</f>
        <v>In-store</v>
      </c>
      <c r="F302" s="3" t="str">
        <f>IF(PROPER(TRIM('Raw Data'!F302))="Accessory","Accessories",PROPER(TRIM('Raw Data'!F302)))</f>
        <v>Electronics</v>
      </c>
      <c r="G302" s="3" t="str">
        <f>'Raw Data'!G302</f>
        <v>Power Bank</v>
      </c>
      <c r="H302" s="3" t="str">
        <f>'Raw Data'!H302</f>
        <v>C1169</v>
      </c>
      <c r="I302" s="3" t="str">
        <f>'Raw Data'!I302</f>
        <v>Returning</v>
      </c>
      <c r="J302" s="3">
        <f>'Raw Data'!J302</f>
        <v>5</v>
      </c>
      <c r="K302" s="5">
        <f>'Raw Data'!K302</f>
        <v>26000</v>
      </c>
      <c r="L302" s="6">
        <f>'Raw Data'!L302</f>
        <v>0.05</v>
      </c>
      <c r="M302" s="5">
        <f>'Raw Data'!M302</f>
        <v>98800</v>
      </c>
      <c r="N302" s="5">
        <f t="shared" si="20"/>
        <v>123500</v>
      </c>
      <c r="O302" s="5">
        <f>'Raw Data'!N302</f>
        <v>15000</v>
      </c>
      <c r="P302" s="5">
        <f>IF(ISBLANK('Raw Data'!N302),AVERAGEIFS('Raw Data'!$N$2:$N$433,'Raw Data'!$G$2:$G$433,G302),'Raw Data'!N302)</f>
        <v>15000</v>
      </c>
      <c r="Q302" s="5">
        <f t="shared" si="21"/>
        <v>75000</v>
      </c>
      <c r="R302" s="5">
        <f t="shared" si="22"/>
        <v>48500</v>
      </c>
      <c r="S302" s="3" t="str">
        <f>'Raw Data'!O302</f>
        <v>Yes</v>
      </c>
      <c r="T302" s="3" t="str">
        <f>'Raw Data'!P302</f>
        <v>Aisha</v>
      </c>
      <c r="U302" s="3" t="str">
        <f t="shared" si="23"/>
        <v>March</v>
      </c>
      <c r="V302" s="11">
        <f t="shared" si="24"/>
        <v>1</v>
      </c>
    </row>
    <row r="303" spans="1:22" x14ac:dyDescent="0.25">
      <c r="A303" s="3">
        <f>'Raw Data'!A303</f>
        <v>100302</v>
      </c>
      <c r="B303" s="4">
        <f>'Raw Data'!B303</f>
        <v>46081</v>
      </c>
      <c r="C303" s="3" t="str">
        <f>'Raw Data'!C303</f>
        <v>LG-02</v>
      </c>
      <c r="D303" s="3" t="str">
        <f>PROPER(TRIM('Raw Data'!D303))</f>
        <v>Lagos</v>
      </c>
      <c r="E303" s="3" t="str">
        <f>'Raw Data'!E303</f>
        <v>In-store</v>
      </c>
      <c r="F303" s="3" t="str">
        <f>IF(PROPER(TRIM('Raw Data'!F303))="Accessory","Accessories",PROPER(TRIM('Raw Data'!F303)))</f>
        <v>Accessories</v>
      </c>
      <c r="G303" s="3" t="str">
        <f>'Raw Data'!G303</f>
        <v>Backpack</v>
      </c>
      <c r="H303" s="3" t="str">
        <f>'Raw Data'!H303</f>
        <v>C1179</v>
      </c>
      <c r="I303" s="3" t="str">
        <f>'Raw Data'!I303</f>
        <v>Returning</v>
      </c>
      <c r="J303" s="3">
        <f>'Raw Data'!J303</f>
        <v>4</v>
      </c>
      <c r="K303" s="5">
        <f>'Raw Data'!K303</f>
        <v>28000</v>
      </c>
      <c r="L303" s="6">
        <f>'Raw Data'!L303</f>
        <v>0</v>
      </c>
      <c r="M303" s="5">
        <f>'Raw Data'!M303</f>
        <v>112000</v>
      </c>
      <c r="N303" s="5">
        <f t="shared" si="20"/>
        <v>112000</v>
      </c>
      <c r="O303" s="5">
        <f>'Raw Data'!N303</f>
        <v>16000</v>
      </c>
      <c r="P303" s="5">
        <f>IF(ISBLANK('Raw Data'!N303),AVERAGEIFS('Raw Data'!$N$2:$N$433,'Raw Data'!$G$2:$G$433,G303),'Raw Data'!N303)</f>
        <v>16000</v>
      </c>
      <c r="Q303" s="5">
        <f t="shared" si="21"/>
        <v>64000</v>
      </c>
      <c r="R303" s="5">
        <f t="shared" si="22"/>
        <v>48000</v>
      </c>
      <c r="S303" s="3" t="str">
        <f>'Raw Data'!O303</f>
        <v>No</v>
      </c>
      <c r="T303" s="3" t="str">
        <f>'Raw Data'!P303</f>
        <v>Bola</v>
      </c>
      <c r="U303" s="3" t="str">
        <f t="shared" si="23"/>
        <v>February</v>
      </c>
      <c r="V303" s="11">
        <f t="shared" si="24"/>
        <v>0</v>
      </c>
    </row>
    <row r="304" spans="1:22" x14ac:dyDescent="0.25">
      <c r="A304" s="3">
        <f>'Raw Data'!A304</f>
        <v>100303</v>
      </c>
      <c r="B304" s="4">
        <f>'Raw Data'!B304</f>
        <v>46069</v>
      </c>
      <c r="C304" s="3" t="str">
        <f>'Raw Data'!C304</f>
        <v>IB-01</v>
      </c>
      <c r="D304" s="3" t="str">
        <f>PROPER(TRIM('Raw Data'!D304))</f>
        <v>Ibadan</v>
      </c>
      <c r="E304" s="3" t="str">
        <f>'Raw Data'!E304</f>
        <v>In-store</v>
      </c>
      <c r="F304" s="3" t="str">
        <f>IF(PROPER(TRIM('Raw Data'!F304))="Accessory","Accessories",PROPER(TRIM('Raw Data'!F304)))</f>
        <v>Accessories</v>
      </c>
      <c r="G304" s="3" t="str">
        <f>'Raw Data'!G304</f>
        <v>Phone Case</v>
      </c>
      <c r="H304" s="3" t="str">
        <f>'Raw Data'!H304</f>
        <v>C1032</v>
      </c>
      <c r="I304" s="3" t="str">
        <f>'Raw Data'!I304</f>
        <v>Returning</v>
      </c>
      <c r="J304" s="3">
        <f>'Raw Data'!J304</f>
        <v>2</v>
      </c>
      <c r="K304" s="5">
        <f>'Raw Data'!K304</f>
        <v>9000</v>
      </c>
      <c r="L304" s="6">
        <f>'Raw Data'!L304</f>
        <v>0.1</v>
      </c>
      <c r="M304" s="5">
        <f>'Raw Data'!M304</f>
        <v>16200</v>
      </c>
      <c r="N304" s="5">
        <f t="shared" si="20"/>
        <v>16200</v>
      </c>
      <c r="O304" s="5">
        <f>'Raw Data'!N304</f>
        <v>3500</v>
      </c>
      <c r="P304" s="5">
        <f>IF(ISBLANK('Raw Data'!N304),AVERAGEIFS('Raw Data'!$N$2:$N$433,'Raw Data'!$G$2:$G$433,G304),'Raw Data'!N304)</f>
        <v>3500</v>
      </c>
      <c r="Q304" s="5">
        <f t="shared" si="21"/>
        <v>7000</v>
      </c>
      <c r="R304" s="5">
        <f t="shared" si="22"/>
        <v>9200</v>
      </c>
      <c r="S304" s="3" t="str">
        <f>'Raw Data'!O304</f>
        <v>No</v>
      </c>
      <c r="T304" s="3" t="str">
        <f>'Raw Data'!P304</f>
        <v>Ibrahim</v>
      </c>
      <c r="U304" s="3" t="str">
        <f t="shared" si="23"/>
        <v>February</v>
      </c>
      <c r="V304" s="11">
        <f t="shared" si="24"/>
        <v>0</v>
      </c>
    </row>
    <row r="305" spans="1:22" x14ac:dyDescent="0.25">
      <c r="A305" s="3">
        <f>'Raw Data'!A305</f>
        <v>100304</v>
      </c>
      <c r="B305" s="4">
        <f>'Raw Data'!B305</f>
        <v>46204</v>
      </c>
      <c r="C305" s="3" t="str">
        <f>'Raw Data'!C305</f>
        <v>KN-01</v>
      </c>
      <c r="D305" s="3" t="str">
        <f>PROPER(TRIM('Raw Data'!D305))</f>
        <v>Kano</v>
      </c>
      <c r="E305" s="3" t="str">
        <f>'Raw Data'!E305</f>
        <v>WhatsApp</v>
      </c>
      <c r="F305" s="3" t="str">
        <f>IF(PROPER(TRIM('Raw Data'!F305))="Accessory","Accessories",PROPER(TRIM('Raw Data'!F305)))</f>
        <v>Home</v>
      </c>
      <c r="G305" s="3" t="str">
        <f>'Raw Data'!G305</f>
        <v>Standing Fan</v>
      </c>
      <c r="H305" s="3" t="str">
        <f>'Raw Data'!H305</f>
        <v>C1090</v>
      </c>
      <c r="I305" s="3" t="str">
        <f>'Raw Data'!I305</f>
        <v>New</v>
      </c>
      <c r="J305" s="3">
        <f>'Raw Data'!J305</f>
        <v>5</v>
      </c>
      <c r="K305" s="5">
        <f>'Raw Data'!K305</f>
        <v>58000</v>
      </c>
      <c r="L305" s="6">
        <f>'Raw Data'!L305</f>
        <v>0.1</v>
      </c>
      <c r="M305" s="5">
        <f>'Raw Data'!M305</f>
        <v>261000</v>
      </c>
      <c r="N305" s="5">
        <f t="shared" si="20"/>
        <v>261000</v>
      </c>
      <c r="O305" s="5">
        <f>'Raw Data'!N305</f>
        <v>39000</v>
      </c>
      <c r="P305" s="5">
        <f>IF(ISBLANK('Raw Data'!N305),AVERAGEIFS('Raw Data'!$N$2:$N$433,'Raw Data'!$G$2:$G$433,G305),'Raw Data'!N305)</f>
        <v>39000</v>
      </c>
      <c r="Q305" s="5">
        <f t="shared" si="21"/>
        <v>195000</v>
      </c>
      <c r="R305" s="5">
        <f t="shared" si="22"/>
        <v>66000</v>
      </c>
      <c r="S305" s="3" t="str">
        <f>'Raw Data'!O305</f>
        <v>No</v>
      </c>
      <c r="T305" s="3" t="str">
        <f>'Raw Data'!P305</f>
        <v>Bola</v>
      </c>
      <c r="U305" s="3" t="str">
        <f t="shared" si="23"/>
        <v>July</v>
      </c>
      <c r="V305" s="11">
        <f t="shared" si="24"/>
        <v>0</v>
      </c>
    </row>
    <row r="306" spans="1:22" x14ac:dyDescent="0.25">
      <c r="A306" s="3">
        <f>'Raw Data'!A306</f>
        <v>100305</v>
      </c>
      <c r="B306" s="4">
        <f>'Raw Data'!B306</f>
        <v>46032</v>
      </c>
      <c r="C306" s="3" t="str">
        <f>'Raw Data'!C306</f>
        <v>LG-01</v>
      </c>
      <c r="D306" s="3" t="str">
        <f>PROPER(TRIM('Raw Data'!D306))</f>
        <v>Lagos</v>
      </c>
      <c r="E306" s="3" t="str">
        <f>'Raw Data'!E306</f>
        <v>Online</v>
      </c>
      <c r="F306" s="3" t="str">
        <f>IF(PROPER(TRIM('Raw Data'!F306))="Accessory","Accessories",PROPER(TRIM('Raw Data'!F306)))</f>
        <v>Electronics</v>
      </c>
      <c r="G306" s="3" t="str">
        <f>'Raw Data'!G306</f>
        <v>Earbuds</v>
      </c>
      <c r="H306" s="3" t="str">
        <f>'Raw Data'!H306</f>
        <v>C1105</v>
      </c>
      <c r="I306" s="3" t="str">
        <f>'Raw Data'!I306</f>
        <v>Returning</v>
      </c>
      <c r="J306" s="3">
        <f>'Raw Data'!J306</f>
        <v>2</v>
      </c>
      <c r="K306" s="5">
        <f>'Raw Data'!K306</f>
        <v>32000</v>
      </c>
      <c r="L306" s="6">
        <f>'Raw Data'!L306</f>
        <v>0.05</v>
      </c>
      <c r="M306" s="5">
        <f>'Raw Data'!M306</f>
        <v>60800</v>
      </c>
      <c r="N306" s="5">
        <f t="shared" si="20"/>
        <v>60800</v>
      </c>
      <c r="O306" s="5">
        <f>'Raw Data'!N306</f>
        <v>19000</v>
      </c>
      <c r="P306" s="5">
        <f>IF(ISBLANK('Raw Data'!N306),AVERAGEIFS('Raw Data'!$N$2:$N$433,'Raw Data'!$G$2:$G$433,G306),'Raw Data'!N306)</f>
        <v>19000</v>
      </c>
      <c r="Q306" s="5">
        <f t="shared" si="21"/>
        <v>38000</v>
      </c>
      <c r="R306" s="5">
        <f t="shared" si="22"/>
        <v>22800</v>
      </c>
      <c r="S306" s="3" t="str">
        <f>'Raw Data'!O306</f>
        <v>No</v>
      </c>
      <c r="T306" s="3" t="str">
        <f>'Raw Data'!P306</f>
        <v>Grace</v>
      </c>
      <c r="U306" s="3" t="str">
        <f t="shared" si="23"/>
        <v>January</v>
      </c>
      <c r="V306" s="11">
        <f t="shared" si="24"/>
        <v>0</v>
      </c>
    </row>
    <row r="307" spans="1:22" x14ac:dyDescent="0.25">
      <c r="A307" s="3">
        <f>'Raw Data'!A307</f>
        <v>100306</v>
      </c>
      <c r="B307" s="4">
        <f>'Raw Data'!B307</f>
        <v>46095</v>
      </c>
      <c r="C307" s="3" t="str">
        <f>'Raw Data'!C307</f>
        <v>PH-01</v>
      </c>
      <c r="D307" s="3" t="str">
        <f>PROPER(TRIM('Raw Data'!D307))</f>
        <v>Port Harcourt</v>
      </c>
      <c r="E307" s="3" t="str">
        <f>'Raw Data'!E307</f>
        <v>In-store</v>
      </c>
      <c r="F307" s="3" t="str">
        <f>IF(PROPER(TRIM('Raw Data'!F307))="Accessory","Accessories",PROPER(TRIM('Raw Data'!F307)))</f>
        <v>Accessories</v>
      </c>
      <c r="G307" s="3" t="str">
        <f>'Raw Data'!G307</f>
        <v>Phone Case</v>
      </c>
      <c r="H307" s="3" t="str">
        <f>'Raw Data'!H307</f>
        <v>C1162</v>
      </c>
      <c r="I307" s="3" t="str">
        <f>'Raw Data'!I307</f>
        <v>New</v>
      </c>
      <c r="J307" s="3">
        <f>'Raw Data'!J307</f>
        <v>1</v>
      </c>
      <c r="K307" s="5">
        <f>'Raw Data'!K307</f>
        <v>9000</v>
      </c>
      <c r="L307" s="6">
        <f>'Raw Data'!L307</f>
        <v>0.15</v>
      </c>
      <c r="M307" s="5">
        <f>'Raw Data'!M307</f>
        <v>7650</v>
      </c>
      <c r="N307" s="5">
        <f t="shared" si="20"/>
        <v>7650</v>
      </c>
      <c r="O307" s="5">
        <f>'Raw Data'!N307</f>
        <v>3500</v>
      </c>
      <c r="P307" s="5">
        <f>IF(ISBLANK('Raw Data'!N307),AVERAGEIFS('Raw Data'!$N$2:$N$433,'Raw Data'!$G$2:$G$433,G307),'Raw Data'!N307)</f>
        <v>3500</v>
      </c>
      <c r="Q307" s="5">
        <f t="shared" si="21"/>
        <v>3500</v>
      </c>
      <c r="R307" s="5">
        <f t="shared" si="22"/>
        <v>4150</v>
      </c>
      <c r="S307" s="3" t="str">
        <f>'Raw Data'!O307</f>
        <v>No</v>
      </c>
      <c r="T307" s="3" t="str">
        <f>'Raw Data'!P307</f>
        <v>Aisha</v>
      </c>
      <c r="U307" s="3" t="str">
        <f t="shared" si="23"/>
        <v>March</v>
      </c>
      <c r="V307" s="11">
        <f t="shared" si="24"/>
        <v>0</v>
      </c>
    </row>
    <row r="308" spans="1:22" x14ac:dyDescent="0.25">
      <c r="A308" s="3">
        <f>'Raw Data'!A308</f>
        <v>100307</v>
      </c>
      <c r="B308" s="4">
        <f>'Raw Data'!B308</f>
        <v>46201</v>
      </c>
      <c r="C308" s="3" t="str">
        <f>'Raw Data'!C308</f>
        <v>IB-01</v>
      </c>
      <c r="D308" s="3" t="str">
        <f>PROPER(TRIM('Raw Data'!D308))</f>
        <v>Ibadan</v>
      </c>
      <c r="E308" s="3" t="str">
        <f>'Raw Data'!E308</f>
        <v>Online</v>
      </c>
      <c r="F308" s="3" t="str">
        <f>IF(PROPER(TRIM('Raw Data'!F308))="Accessory","Accessories",PROPER(TRIM('Raw Data'!F308)))</f>
        <v>Electronics</v>
      </c>
      <c r="G308" s="3" t="str">
        <f>'Raw Data'!G308</f>
        <v>Power Bank</v>
      </c>
      <c r="H308" s="3" t="str">
        <f>'Raw Data'!H308</f>
        <v>C1099</v>
      </c>
      <c r="I308" s="3" t="str">
        <f>'Raw Data'!I308</f>
        <v>New</v>
      </c>
      <c r="J308" s="3">
        <f>'Raw Data'!J308</f>
        <v>3</v>
      </c>
      <c r="K308" s="5">
        <f>'Raw Data'!K308</f>
        <v>26000</v>
      </c>
      <c r="L308" s="6">
        <f>'Raw Data'!L308</f>
        <v>0</v>
      </c>
      <c r="M308" s="5">
        <f>'Raw Data'!M308</f>
        <v>78000</v>
      </c>
      <c r="N308" s="5">
        <f t="shared" si="20"/>
        <v>78000</v>
      </c>
      <c r="O308" s="5">
        <f>'Raw Data'!N308</f>
        <v>15000</v>
      </c>
      <c r="P308" s="5">
        <f>IF(ISBLANK('Raw Data'!N308),AVERAGEIFS('Raw Data'!$N$2:$N$433,'Raw Data'!$G$2:$G$433,G308),'Raw Data'!N308)</f>
        <v>15000</v>
      </c>
      <c r="Q308" s="5">
        <f t="shared" si="21"/>
        <v>45000</v>
      </c>
      <c r="R308" s="5">
        <f t="shared" si="22"/>
        <v>33000</v>
      </c>
      <c r="S308" s="3" t="str">
        <f>'Raw Data'!O308</f>
        <v>No</v>
      </c>
      <c r="T308" s="3" t="str">
        <f>'Raw Data'!P308</f>
        <v>Ibrahim</v>
      </c>
      <c r="U308" s="3" t="str">
        <f t="shared" si="23"/>
        <v>June</v>
      </c>
      <c r="V308" s="11">
        <f t="shared" si="24"/>
        <v>0</v>
      </c>
    </row>
    <row r="309" spans="1:22" x14ac:dyDescent="0.25">
      <c r="A309" s="3">
        <f>'Raw Data'!A309</f>
        <v>100308</v>
      </c>
      <c r="B309" s="4">
        <f>'Raw Data'!B309</f>
        <v>46238</v>
      </c>
      <c r="C309" s="3" t="str">
        <f>'Raw Data'!C309</f>
        <v>LG-02</v>
      </c>
      <c r="D309" s="3" t="str">
        <f>PROPER(TRIM('Raw Data'!D309))</f>
        <v>Lagos</v>
      </c>
      <c r="E309" s="3" t="str">
        <f>'Raw Data'!E309</f>
        <v>Online</v>
      </c>
      <c r="F309" s="3" t="str">
        <f>IF(PROPER(TRIM('Raw Data'!F309))="Accessory","Accessories",PROPER(TRIM('Raw Data'!F309)))</f>
        <v>Home</v>
      </c>
      <c r="G309" s="3" t="str">
        <f>'Raw Data'!G309</f>
        <v>Blender</v>
      </c>
      <c r="H309" s="3" t="str">
        <f>'Raw Data'!H309</f>
        <v>C1088</v>
      </c>
      <c r="I309" s="3" t="str">
        <f>'Raw Data'!I309</f>
        <v>Returning</v>
      </c>
      <c r="J309" s="3">
        <f>'Raw Data'!J309</f>
        <v>1</v>
      </c>
      <c r="K309" s="5">
        <f>'Raw Data'!K309</f>
        <v>42000</v>
      </c>
      <c r="L309" s="6">
        <f>'Raw Data'!L309</f>
        <v>0.05</v>
      </c>
      <c r="M309" s="5">
        <f>'Raw Data'!M309</f>
        <v>39900</v>
      </c>
      <c r="N309" s="5">
        <f t="shared" si="20"/>
        <v>39900</v>
      </c>
      <c r="O309" s="5">
        <f>'Raw Data'!N309</f>
        <v>28000</v>
      </c>
      <c r="P309" s="5">
        <f>IF(ISBLANK('Raw Data'!N309),AVERAGEIFS('Raw Data'!$N$2:$N$433,'Raw Data'!$G$2:$G$433,G309),'Raw Data'!N309)</f>
        <v>28000</v>
      </c>
      <c r="Q309" s="5">
        <f t="shared" si="21"/>
        <v>28000</v>
      </c>
      <c r="R309" s="5">
        <f t="shared" si="22"/>
        <v>11900</v>
      </c>
      <c r="S309" s="3" t="str">
        <f>'Raw Data'!O309</f>
        <v>No</v>
      </c>
      <c r="T309" s="3" t="str">
        <f>'Raw Data'!P309</f>
        <v>Aisha</v>
      </c>
      <c r="U309" s="3" t="str">
        <f t="shared" si="23"/>
        <v>August</v>
      </c>
      <c r="V309" s="11">
        <f t="shared" si="24"/>
        <v>0</v>
      </c>
    </row>
    <row r="310" spans="1:22" x14ac:dyDescent="0.25">
      <c r="A310" s="3">
        <f>'Raw Data'!A310</f>
        <v>100309</v>
      </c>
      <c r="B310" s="4">
        <f>'Raw Data'!B310</f>
        <v>46154</v>
      </c>
      <c r="C310" s="3" t="str">
        <f>'Raw Data'!C310</f>
        <v>LG-02</v>
      </c>
      <c r="D310" s="3" t="str">
        <f>PROPER(TRIM('Raw Data'!D310))</f>
        <v>Lagos</v>
      </c>
      <c r="E310" s="3" t="str">
        <f>'Raw Data'!E310</f>
        <v>In-store</v>
      </c>
      <c r="F310" s="3" t="str">
        <f>IF(PROPER(TRIM('Raw Data'!F310))="Accessory","Accessories",PROPER(TRIM('Raw Data'!F310)))</f>
        <v>Accessories</v>
      </c>
      <c r="G310" s="3" t="str">
        <f>'Raw Data'!G310</f>
        <v>USB Cable</v>
      </c>
      <c r="H310" s="3" t="str">
        <f>'Raw Data'!H310</f>
        <v>C1093</v>
      </c>
      <c r="I310" s="3" t="str">
        <f>'Raw Data'!I310</f>
        <v>New</v>
      </c>
      <c r="J310" s="3">
        <f>'Raw Data'!J310</f>
        <v>3</v>
      </c>
      <c r="K310" s="5">
        <f>'Raw Data'!K310</f>
        <v>6500</v>
      </c>
      <c r="L310" s="6">
        <f>'Raw Data'!L310</f>
        <v>0.15</v>
      </c>
      <c r="M310" s="5">
        <f>'Raw Data'!M310</f>
        <v>16575</v>
      </c>
      <c r="N310" s="5">
        <f t="shared" si="20"/>
        <v>16575</v>
      </c>
      <c r="O310" s="5">
        <f>'Raw Data'!N310</f>
        <v>2200</v>
      </c>
      <c r="P310" s="5">
        <f>IF(ISBLANK('Raw Data'!N310),AVERAGEIFS('Raw Data'!$N$2:$N$433,'Raw Data'!$G$2:$G$433,G310),'Raw Data'!N310)</f>
        <v>2200</v>
      </c>
      <c r="Q310" s="5">
        <f t="shared" si="21"/>
        <v>6600</v>
      </c>
      <c r="R310" s="5">
        <f t="shared" si="22"/>
        <v>9975</v>
      </c>
      <c r="S310" s="3" t="str">
        <f>'Raw Data'!O310</f>
        <v>No</v>
      </c>
      <c r="T310" s="3" t="str">
        <f>'Raw Data'!P310</f>
        <v>Ibrahim</v>
      </c>
      <c r="U310" s="3" t="str">
        <f t="shared" si="23"/>
        <v>May</v>
      </c>
      <c r="V310" s="11">
        <f t="shared" si="24"/>
        <v>0</v>
      </c>
    </row>
    <row r="311" spans="1:22" x14ac:dyDescent="0.25">
      <c r="A311" s="3">
        <f>'Raw Data'!A311</f>
        <v>100310</v>
      </c>
      <c r="B311" s="4">
        <f>'Raw Data'!B311</f>
        <v>46085</v>
      </c>
      <c r="C311" s="3" t="str">
        <f>'Raw Data'!C311</f>
        <v>LG-01</v>
      </c>
      <c r="D311" s="3" t="str">
        <f>PROPER(TRIM('Raw Data'!D311))</f>
        <v>Lagos</v>
      </c>
      <c r="E311" s="3" t="str">
        <f>'Raw Data'!E311</f>
        <v>Online</v>
      </c>
      <c r="F311" s="3" t="str">
        <f>IF(PROPER(TRIM('Raw Data'!F311))="Accessory","Accessories",PROPER(TRIM('Raw Data'!F311)))</f>
        <v>Electronics</v>
      </c>
      <c r="G311" s="3" t="str">
        <f>'Raw Data'!G311</f>
        <v>Earbuds</v>
      </c>
      <c r="H311" s="3" t="str">
        <f>'Raw Data'!H311</f>
        <v>C1022</v>
      </c>
      <c r="I311" s="3" t="str">
        <f>'Raw Data'!I311</f>
        <v>New</v>
      </c>
      <c r="J311" s="3">
        <f>'Raw Data'!J311</f>
        <v>4</v>
      </c>
      <c r="K311" s="5">
        <f>'Raw Data'!K311</f>
        <v>32000</v>
      </c>
      <c r="L311" s="6">
        <f>'Raw Data'!L311</f>
        <v>0.1</v>
      </c>
      <c r="M311" s="5">
        <f>'Raw Data'!M311</f>
        <v>115200</v>
      </c>
      <c r="N311" s="5">
        <f t="shared" si="20"/>
        <v>115200</v>
      </c>
      <c r="O311" s="5">
        <f>'Raw Data'!N311</f>
        <v>19000</v>
      </c>
      <c r="P311" s="5">
        <f>IF(ISBLANK('Raw Data'!N311),AVERAGEIFS('Raw Data'!$N$2:$N$433,'Raw Data'!$G$2:$G$433,G311),'Raw Data'!N311)</f>
        <v>19000</v>
      </c>
      <c r="Q311" s="5">
        <f t="shared" si="21"/>
        <v>76000</v>
      </c>
      <c r="R311" s="5">
        <f t="shared" si="22"/>
        <v>39200</v>
      </c>
      <c r="S311" s="3" t="str">
        <f>'Raw Data'!O311</f>
        <v>No</v>
      </c>
      <c r="T311" s="3" t="str">
        <f>'Raw Data'!P311</f>
        <v>Ibrahim</v>
      </c>
      <c r="U311" s="3" t="str">
        <f t="shared" si="23"/>
        <v>March</v>
      </c>
      <c r="V311" s="11">
        <f t="shared" si="24"/>
        <v>0</v>
      </c>
    </row>
    <row r="312" spans="1:22" x14ac:dyDescent="0.25">
      <c r="A312" s="3">
        <f>'Raw Data'!A312</f>
        <v>100311</v>
      </c>
      <c r="B312" s="4">
        <f>'Raw Data'!B312</f>
        <v>46175</v>
      </c>
      <c r="C312" s="3" t="str">
        <f>'Raw Data'!C312</f>
        <v>AB-01</v>
      </c>
      <c r="D312" s="3" t="str">
        <f>PROPER(TRIM('Raw Data'!D312))</f>
        <v>Abuja</v>
      </c>
      <c r="E312" s="3" t="str">
        <f>'Raw Data'!E312</f>
        <v>Online</v>
      </c>
      <c r="F312" s="3" t="str">
        <f>IF(PROPER(TRIM('Raw Data'!F312))="Accessory","Accessories",PROPER(TRIM('Raw Data'!F312)))</f>
        <v>Accessories</v>
      </c>
      <c r="G312" s="3" t="str">
        <f>'Raw Data'!G312</f>
        <v>USB Cable</v>
      </c>
      <c r="H312" s="3" t="str">
        <f>'Raw Data'!H312</f>
        <v>C1143</v>
      </c>
      <c r="I312" s="3" t="str">
        <f>'Raw Data'!I312</f>
        <v>Returning</v>
      </c>
      <c r="J312" s="3">
        <f>'Raw Data'!J312</f>
        <v>1</v>
      </c>
      <c r="K312" s="5">
        <f>'Raw Data'!K312</f>
        <v>6500</v>
      </c>
      <c r="L312" s="6">
        <f>'Raw Data'!L312</f>
        <v>0.05</v>
      </c>
      <c r="M312" s="5">
        <f>'Raw Data'!M312</f>
        <v>6175</v>
      </c>
      <c r="N312" s="5">
        <f t="shared" si="20"/>
        <v>6175</v>
      </c>
      <c r="O312" s="3">
        <f>'Raw Data'!N312</f>
        <v>0</v>
      </c>
      <c r="P312" s="5">
        <f>IF(ISBLANK('Raw Data'!N312),AVERAGEIFS('Raw Data'!$N$2:$N$433,'Raw Data'!$G$2:$G$433,G312),'Raw Data'!N312)</f>
        <v>2200</v>
      </c>
      <c r="Q312" s="5">
        <f t="shared" si="21"/>
        <v>2200</v>
      </c>
      <c r="R312" s="5">
        <f t="shared" si="22"/>
        <v>3975</v>
      </c>
      <c r="S312" s="3" t="str">
        <f>'Raw Data'!O312</f>
        <v>No</v>
      </c>
      <c r="T312" s="3" t="str">
        <f>'Raw Data'!P312</f>
        <v>Aisha</v>
      </c>
      <c r="U312" s="3" t="str">
        <f t="shared" si="23"/>
        <v>June</v>
      </c>
      <c r="V312" s="11">
        <f t="shared" si="24"/>
        <v>0</v>
      </c>
    </row>
    <row r="313" spans="1:22" x14ac:dyDescent="0.25">
      <c r="A313" s="3">
        <f>'Raw Data'!A313</f>
        <v>100312</v>
      </c>
      <c r="B313" s="4">
        <f>'Raw Data'!B313</f>
        <v>46080</v>
      </c>
      <c r="C313" s="3" t="str">
        <f>'Raw Data'!C313</f>
        <v>LG-02</v>
      </c>
      <c r="D313" s="3" t="str">
        <f>PROPER(TRIM('Raw Data'!D313))</f>
        <v>Lagos</v>
      </c>
      <c r="E313" s="3" t="str">
        <f>'Raw Data'!E313</f>
        <v>In-store</v>
      </c>
      <c r="F313" s="3" t="str">
        <f>IF(PROPER(TRIM('Raw Data'!F313))="Accessory","Accessories",PROPER(TRIM('Raw Data'!F313)))</f>
        <v>Electronics</v>
      </c>
      <c r="G313" s="3" t="str">
        <f>'Raw Data'!G313</f>
        <v>Earbuds</v>
      </c>
      <c r="H313" s="3" t="str">
        <f>'Raw Data'!H313</f>
        <v>C1007</v>
      </c>
      <c r="I313" s="3" t="str">
        <f>'Raw Data'!I313</f>
        <v>New</v>
      </c>
      <c r="J313" s="3">
        <f>'Raw Data'!J313</f>
        <v>3</v>
      </c>
      <c r="K313" s="5">
        <f>'Raw Data'!K313</f>
        <v>32000</v>
      </c>
      <c r="L313" s="6">
        <f>'Raw Data'!L313</f>
        <v>0.15</v>
      </c>
      <c r="M313" s="5">
        <f>'Raw Data'!M313</f>
        <v>81600</v>
      </c>
      <c r="N313" s="5">
        <f t="shared" si="20"/>
        <v>81600</v>
      </c>
      <c r="O313" s="5">
        <f>'Raw Data'!N313</f>
        <v>19000</v>
      </c>
      <c r="P313" s="5">
        <f>IF(ISBLANK('Raw Data'!N313),AVERAGEIFS('Raw Data'!$N$2:$N$433,'Raw Data'!$G$2:$G$433,G313),'Raw Data'!N313)</f>
        <v>19000</v>
      </c>
      <c r="Q313" s="5">
        <f t="shared" si="21"/>
        <v>57000</v>
      </c>
      <c r="R313" s="5">
        <f t="shared" si="22"/>
        <v>24600</v>
      </c>
      <c r="S313" s="3" t="str">
        <f>'Raw Data'!O313</f>
        <v>No</v>
      </c>
      <c r="T313" s="3" t="str">
        <f>'Raw Data'!P313</f>
        <v>Kemi</v>
      </c>
      <c r="U313" s="3" t="str">
        <f t="shared" si="23"/>
        <v>February</v>
      </c>
      <c r="V313" s="11">
        <f t="shared" si="24"/>
        <v>0</v>
      </c>
    </row>
    <row r="314" spans="1:22" x14ac:dyDescent="0.25">
      <c r="A314" s="3">
        <f>'Raw Data'!A314</f>
        <v>100313</v>
      </c>
      <c r="B314" s="4">
        <f>'Raw Data'!B314</f>
        <v>46241</v>
      </c>
      <c r="C314" s="3" t="str">
        <f>'Raw Data'!C314</f>
        <v>LG-01</v>
      </c>
      <c r="D314" s="3" t="str">
        <f>PROPER(TRIM('Raw Data'!D314))</f>
        <v>Lagos</v>
      </c>
      <c r="E314" s="3" t="str">
        <f>'Raw Data'!E314</f>
        <v>In-store</v>
      </c>
      <c r="F314" s="3" t="str">
        <f>IF(PROPER(TRIM('Raw Data'!F314))="Accessory","Accessories",PROPER(TRIM('Raw Data'!F314)))</f>
        <v>Accessories</v>
      </c>
      <c r="G314" s="3" t="str">
        <f>'Raw Data'!G314</f>
        <v>USB Cable</v>
      </c>
      <c r="H314" s="3" t="str">
        <f>'Raw Data'!H314</f>
        <v>C1078</v>
      </c>
      <c r="I314" s="3" t="str">
        <f>'Raw Data'!I314</f>
        <v>Returning</v>
      </c>
      <c r="J314" s="3">
        <f>'Raw Data'!J314</f>
        <v>1</v>
      </c>
      <c r="K314" s="5">
        <f>'Raw Data'!K314</f>
        <v>6500</v>
      </c>
      <c r="L314" s="6">
        <f>'Raw Data'!L314</f>
        <v>0.05</v>
      </c>
      <c r="M314" s="5">
        <f>'Raw Data'!M314</f>
        <v>6175</v>
      </c>
      <c r="N314" s="5">
        <f t="shared" si="20"/>
        <v>6175</v>
      </c>
      <c r="O314" s="5">
        <f>'Raw Data'!N314</f>
        <v>2200</v>
      </c>
      <c r="P314" s="5">
        <f>IF(ISBLANK('Raw Data'!N314),AVERAGEIFS('Raw Data'!$N$2:$N$433,'Raw Data'!$G$2:$G$433,G314),'Raw Data'!N314)</f>
        <v>2200</v>
      </c>
      <c r="Q314" s="5">
        <f t="shared" si="21"/>
        <v>2200</v>
      </c>
      <c r="R314" s="5">
        <f t="shared" si="22"/>
        <v>3975</v>
      </c>
      <c r="S314" s="3" t="str">
        <f>'Raw Data'!O314</f>
        <v>No</v>
      </c>
      <c r="T314" s="3" t="str">
        <f>'Raw Data'!P314</f>
        <v>David</v>
      </c>
      <c r="U314" s="3" t="str">
        <f t="shared" si="23"/>
        <v>August</v>
      </c>
      <c r="V314" s="11">
        <f t="shared" si="24"/>
        <v>0</v>
      </c>
    </row>
    <row r="315" spans="1:22" x14ac:dyDescent="0.25">
      <c r="A315" s="3">
        <f>'Raw Data'!A315</f>
        <v>100314</v>
      </c>
      <c r="B315" s="4">
        <f>'Raw Data'!B315</f>
        <v>46106</v>
      </c>
      <c r="C315" s="3" t="str">
        <f>'Raw Data'!C315</f>
        <v>LG-02</v>
      </c>
      <c r="D315" s="3" t="str">
        <f>PROPER(TRIM('Raw Data'!D315))</f>
        <v>Lagos</v>
      </c>
      <c r="E315" s="3" t="str">
        <f>'Raw Data'!E315</f>
        <v>In-store</v>
      </c>
      <c r="F315" s="3" t="str">
        <f>IF(PROPER(TRIM('Raw Data'!F315))="Accessory","Accessories",PROPER(TRIM('Raw Data'!F315)))</f>
        <v>Electronics</v>
      </c>
      <c r="G315" s="3" t="str">
        <f>'Raw Data'!G315</f>
        <v>Smartphone</v>
      </c>
      <c r="H315" s="3" t="str">
        <f>'Raw Data'!H315</f>
        <v>C1167</v>
      </c>
      <c r="I315" s="3" t="str">
        <f>'Raw Data'!I315</f>
        <v>Returning</v>
      </c>
      <c r="J315" s="3">
        <f>'Raw Data'!J315</f>
        <v>1</v>
      </c>
      <c r="K315" s="5">
        <f>'Raw Data'!K315</f>
        <v>165000</v>
      </c>
      <c r="L315" s="6">
        <f>'Raw Data'!L315</f>
        <v>0.1</v>
      </c>
      <c r="M315" s="5">
        <f>'Raw Data'!M315</f>
        <v>148500</v>
      </c>
      <c r="N315" s="5">
        <f t="shared" si="20"/>
        <v>148500</v>
      </c>
      <c r="O315" s="5">
        <f>'Raw Data'!N315</f>
        <v>112000</v>
      </c>
      <c r="P315" s="5">
        <f>IF(ISBLANK('Raw Data'!N315),AVERAGEIFS('Raw Data'!$N$2:$N$433,'Raw Data'!$G$2:$G$433,G315),'Raw Data'!N315)</f>
        <v>112000</v>
      </c>
      <c r="Q315" s="5">
        <f t="shared" si="21"/>
        <v>112000</v>
      </c>
      <c r="R315" s="5">
        <f t="shared" si="22"/>
        <v>36500</v>
      </c>
      <c r="S315" s="3" t="str">
        <f>'Raw Data'!O315</f>
        <v>No</v>
      </c>
      <c r="T315" s="3" t="str">
        <f>'Raw Data'!P315</f>
        <v>Grace</v>
      </c>
      <c r="U315" s="3" t="str">
        <f t="shared" si="23"/>
        <v>March</v>
      </c>
      <c r="V315" s="11">
        <f t="shared" si="24"/>
        <v>0</v>
      </c>
    </row>
    <row r="316" spans="1:22" x14ac:dyDescent="0.25">
      <c r="A316" s="3">
        <f>'Raw Data'!A316</f>
        <v>100315</v>
      </c>
      <c r="B316" s="4">
        <f>'Raw Data'!B316</f>
        <v>46118</v>
      </c>
      <c r="C316" s="3" t="str">
        <f>'Raw Data'!C316</f>
        <v>LG-02</v>
      </c>
      <c r="D316" s="3" t="str">
        <f>PROPER(TRIM('Raw Data'!D316))</f>
        <v>Lagos</v>
      </c>
      <c r="E316" s="3" t="str">
        <f>'Raw Data'!E316</f>
        <v>WhatsApp</v>
      </c>
      <c r="F316" s="3" t="str">
        <f>IF(PROPER(TRIM('Raw Data'!F316))="Accessory","Accessories",PROPER(TRIM('Raw Data'!F316)))</f>
        <v>Electronics</v>
      </c>
      <c r="G316" s="3" t="str">
        <f>'Raw Data'!G316</f>
        <v>Power Bank</v>
      </c>
      <c r="H316" s="3" t="str">
        <f>'Raw Data'!H316</f>
        <v>C1178</v>
      </c>
      <c r="I316" s="3" t="str">
        <f>'Raw Data'!I316</f>
        <v>Returning</v>
      </c>
      <c r="J316" s="3">
        <f>'Raw Data'!J316</f>
        <v>1</v>
      </c>
      <c r="K316" s="5">
        <f>'Raw Data'!K316</f>
        <v>26000</v>
      </c>
      <c r="L316" s="6">
        <f>'Raw Data'!L316</f>
        <v>0</v>
      </c>
      <c r="M316" s="5">
        <f>'Raw Data'!M316</f>
        <v>26000</v>
      </c>
      <c r="N316" s="5">
        <f t="shared" si="20"/>
        <v>26000</v>
      </c>
      <c r="O316" s="5">
        <f>'Raw Data'!N316</f>
        <v>15000</v>
      </c>
      <c r="P316" s="5">
        <f>IF(ISBLANK('Raw Data'!N316),AVERAGEIFS('Raw Data'!$N$2:$N$433,'Raw Data'!$G$2:$G$433,G316),'Raw Data'!N316)</f>
        <v>15000</v>
      </c>
      <c r="Q316" s="5">
        <f t="shared" si="21"/>
        <v>15000</v>
      </c>
      <c r="R316" s="5">
        <f t="shared" si="22"/>
        <v>11000</v>
      </c>
      <c r="S316" s="3" t="str">
        <f>'Raw Data'!O316</f>
        <v>No</v>
      </c>
      <c r="T316" s="3" t="str">
        <f>'Raw Data'!P316</f>
        <v>Chinedu</v>
      </c>
      <c r="U316" s="3" t="str">
        <f t="shared" si="23"/>
        <v>April</v>
      </c>
      <c r="V316" s="11">
        <f t="shared" si="24"/>
        <v>0</v>
      </c>
    </row>
    <row r="317" spans="1:22" x14ac:dyDescent="0.25">
      <c r="A317" s="3">
        <f>'Raw Data'!A317</f>
        <v>100316</v>
      </c>
      <c r="B317" s="4">
        <f>'Raw Data'!B317</f>
        <v>46154</v>
      </c>
      <c r="C317" s="3" t="str">
        <f>'Raw Data'!C317</f>
        <v>KN-01</v>
      </c>
      <c r="D317" s="3" t="str">
        <f>PROPER(TRIM('Raw Data'!D317))</f>
        <v>Kano</v>
      </c>
      <c r="E317" s="3" t="str">
        <f>'Raw Data'!E317</f>
        <v>Online</v>
      </c>
      <c r="F317" s="3" t="str">
        <f>IF(PROPER(TRIM('Raw Data'!F317))="Accessory","Accessories",PROPER(TRIM('Raw Data'!F317)))</f>
        <v>Electronics</v>
      </c>
      <c r="G317" s="3" t="str">
        <f>'Raw Data'!G317</f>
        <v>Earbuds</v>
      </c>
      <c r="H317" s="3" t="str">
        <f>'Raw Data'!H317</f>
        <v>C1100</v>
      </c>
      <c r="I317" s="3" t="str">
        <f>'Raw Data'!I317</f>
        <v>New</v>
      </c>
      <c r="J317" s="3">
        <f>'Raw Data'!J317</f>
        <v>5</v>
      </c>
      <c r="K317" s="5">
        <f>'Raw Data'!K317</f>
        <v>32000</v>
      </c>
      <c r="L317" s="6">
        <f>'Raw Data'!L317</f>
        <v>0</v>
      </c>
      <c r="M317" s="5">
        <f>'Raw Data'!M317</f>
        <v>160000</v>
      </c>
      <c r="N317" s="5">
        <f t="shared" si="20"/>
        <v>160000</v>
      </c>
      <c r="O317" s="5">
        <f>'Raw Data'!N317</f>
        <v>19000</v>
      </c>
      <c r="P317" s="5">
        <f>IF(ISBLANK('Raw Data'!N317),AVERAGEIFS('Raw Data'!$N$2:$N$433,'Raw Data'!$G$2:$G$433,G317),'Raw Data'!N317)</f>
        <v>19000</v>
      </c>
      <c r="Q317" s="5">
        <f t="shared" si="21"/>
        <v>95000</v>
      </c>
      <c r="R317" s="5">
        <f t="shared" si="22"/>
        <v>65000</v>
      </c>
      <c r="S317" s="3" t="str">
        <f>'Raw Data'!O317</f>
        <v>No</v>
      </c>
      <c r="T317" s="3" t="str">
        <f>'Raw Data'!P317</f>
        <v>Chinedu</v>
      </c>
      <c r="U317" s="3" t="str">
        <f t="shared" si="23"/>
        <v>May</v>
      </c>
      <c r="V317" s="11">
        <f t="shared" si="24"/>
        <v>0</v>
      </c>
    </row>
    <row r="318" spans="1:22" x14ac:dyDescent="0.25">
      <c r="A318" s="3">
        <f>'Raw Data'!A318</f>
        <v>100317</v>
      </c>
      <c r="B318" s="4">
        <f>'Raw Data'!B318</f>
        <v>46212</v>
      </c>
      <c r="C318" s="3" t="str">
        <f>'Raw Data'!C318</f>
        <v>IB-01</v>
      </c>
      <c r="D318" s="3" t="str">
        <f>PROPER(TRIM('Raw Data'!D318))</f>
        <v>Ibadan</v>
      </c>
      <c r="E318" s="3" t="str">
        <f>'Raw Data'!E318</f>
        <v>In-store</v>
      </c>
      <c r="F318" s="3" t="str">
        <f>IF(PROPER(TRIM('Raw Data'!F318))="Accessory","Accessories",PROPER(TRIM('Raw Data'!F318)))</f>
        <v>Home</v>
      </c>
      <c r="G318" s="3" t="str">
        <f>'Raw Data'!G318</f>
        <v>Electric Kettle</v>
      </c>
      <c r="H318" s="3" t="str">
        <f>'Raw Data'!H318</f>
        <v>C1099</v>
      </c>
      <c r="I318" s="3" t="str">
        <f>'Raw Data'!I318</f>
        <v>Returning</v>
      </c>
      <c r="J318" s="3">
        <f>'Raw Data'!J318</f>
        <v>1</v>
      </c>
      <c r="K318" s="5">
        <f>'Raw Data'!K318</f>
        <v>24000</v>
      </c>
      <c r="L318" s="6">
        <f>'Raw Data'!L318</f>
        <v>0.05</v>
      </c>
      <c r="M318" s="5">
        <f>'Raw Data'!M318</f>
        <v>22800</v>
      </c>
      <c r="N318" s="5">
        <f t="shared" si="20"/>
        <v>22800</v>
      </c>
      <c r="O318" s="5">
        <f>'Raw Data'!N318</f>
        <v>15000</v>
      </c>
      <c r="P318" s="5">
        <f>IF(ISBLANK('Raw Data'!N318),AVERAGEIFS('Raw Data'!$N$2:$N$433,'Raw Data'!$G$2:$G$433,G318),'Raw Data'!N318)</f>
        <v>15000</v>
      </c>
      <c r="Q318" s="5">
        <f t="shared" si="21"/>
        <v>15000</v>
      </c>
      <c r="R318" s="5">
        <f t="shared" si="22"/>
        <v>7800</v>
      </c>
      <c r="S318" s="3" t="str">
        <f>'Raw Data'!O318</f>
        <v>No</v>
      </c>
      <c r="T318" s="3" t="str">
        <f>'Raw Data'!P318</f>
        <v>Kemi</v>
      </c>
      <c r="U318" s="3" t="str">
        <f t="shared" si="23"/>
        <v>July</v>
      </c>
      <c r="V318" s="11">
        <f t="shared" si="24"/>
        <v>0</v>
      </c>
    </row>
    <row r="319" spans="1:22" x14ac:dyDescent="0.25">
      <c r="A319" s="3">
        <f>'Raw Data'!A319</f>
        <v>100318</v>
      </c>
      <c r="B319" s="4">
        <f>'Raw Data'!B319</f>
        <v>46179</v>
      </c>
      <c r="C319" s="3" t="str">
        <f>'Raw Data'!C319</f>
        <v>KN-01</v>
      </c>
      <c r="D319" s="3" t="str">
        <f>PROPER(TRIM('Raw Data'!D319))</f>
        <v>Kano</v>
      </c>
      <c r="E319" s="3" t="str">
        <f>'Raw Data'!E319</f>
        <v>In-store</v>
      </c>
      <c r="F319" s="3" t="str">
        <f>IF(PROPER(TRIM('Raw Data'!F319))="Accessory","Accessories",PROPER(TRIM('Raw Data'!F319)))</f>
        <v>Home</v>
      </c>
      <c r="G319" s="3" t="str">
        <f>'Raw Data'!G319</f>
        <v>Standing Fan</v>
      </c>
      <c r="H319" s="3" t="str">
        <f>'Raw Data'!H319</f>
        <v>C1070</v>
      </c>
      <c r="I319" s="3" t="str">
        <f>'Raw Data'!I319</f>
        <v>Returning</v>
      </c>
      <c r="J319" s="3">
        <f>'Raw Data'!J319</f>
        <v>2</v>
      </c>
      <c r="K319" s="5">
        <f>'Raw Data'!K319</f>
        <v>58000</v>
      </c>
      <c r="L319" s="6">
        <f>'Raw Data'!L319</f>
        <v>0.05</v>
      </c>
      <c r="M319" s="5">
        <f>'Raw Data'!M319</f>
        <v>110200</v>
      </c>
      <c r="N319" s="5">
        <f t="shared" si="20"/>
        <v>110200</v>
      </c>
      <c r="O319" s="5">
        <f>'Raw Data'!N319</f>
        <v>39000</v>
      </c>
      <c r="P319" s="5">
        <f>IF(ISBLANK('Raw Data'!N319),AVERAGEIFS('Raw Data'!$N$2:$N$433,'Raw Data'!$G$2:$G$433,G319),'Raw Data'!N319)</f>
        <v>39000</v>
      </c>
      <c r="Q319" s="5">
        <f t="shared" si="21"/>
        <v>78000</v>
      </c>
      <c r="R319" s="5">
        <f t="shared" si="22"/>
        <v>32200</v>
      </c>
      <c r="S319" s="3" t="str">
        <f>'Raw Data'!O319</f>
        <v>No</v>
      </c>
      <c r="T319" s="3" t="str">
        <f>'Raw Data'!P319</f>
        <v>Grace</v>
      </c>
      <c r="U319" s="3" t="str">
        <f t="shared" si="23"/>
        <v>June</v>
      </c>
      <c r="V319" s="11">
        <f t="shared" si="24"/>
        <v>0</v>
      </c>
    </row>
    <row r="320" spans="1:22" x14ac:dyDescent="0.25">
      <c r="A320" s="3">
        <f>'Raw Data'!A320</f>
        <v>100319</v>
      </c>
      <c r="B320" s="4">
        <f>'Raw Data'!B320</f>
        <v>46040</v>
      </c>
      <c r="C320" s="3" t="str">
        <f>'Raw Data'!C320</f>
        <v>AB-02</v>
      </c>
      <c r="D320" s="3" t="str">
        <f>PROPER(TRIM('Raw Data'!D320))</f>
        <v>Abuja</v>
      </c>
      <c r="E320" s="3" t="str">
        <f>'Raw Data'!E320</f>
        <v>In-store</v>
      </c>
      <c r="F320" s="3" t="str">
        <f>IF(PROPER(TRIM('Raw Data'!F320))="Accessory","Accessories",PROPER(TRIM('Raw Data'!F320)))</f>
        <v>Accessories</v>
      </c>
      <c r="G320" s="3" t="str">
        <f>'Raw Data'!G320</f>
        <v>Backpack</v>
      </c>
      <c r="H320" s="3" t="str">
        <f>'Raw Data'!H320</f>
        <v>C1108</v>
      </c>
      <c r="I320" s="3" t="str">
        <f>'Raw Data'!I320</f>
        <v>New</v>
      </c>
      <c r="J320" s="3">
        <f>'Raw Data'!J320</f>
        <v>4</v>
      </c>
      <c r="K320" s="5">
        <f>'Raw Data'!K320</f>
        <v>28000</v>
      </c>
      <c r="L320" s="6">
        <f>'Raw Data'!L320</f>
        <v>0.15</v>
      </c>
      <c r="M320" s="5">
        <f>'Raw Data'!M320</f>
        <v>95200</v>
      </c>
      <c r="N320" s="5">
        <f t="shared" si="20"/>
        <v>95200</v>
      </c>
      <c r="O320" s="5">
        <f>'Raw Data'!N320</f>
        <v>16000</v>
      </c>
      <c r="P320" s="5">
        <f>IF(ISBLANK('Raw Data'!N320),AVERAGEIFS('Raw Data'!$N$2:$N$433,'Raw Data'!$G$2:$G$433,G320),'Raw Data'!N320)</f>
        <v>16000</v>
      </c>
      <c r="Q320" s="5">
        <f t="shared" si="21"/>
        <v>64000</v>
      </c>
      <c r="R320" s="5">
        <f t="shared" si="22"/>
        <v>31200</v>
      </c>
      <c r="S320" s="3" t="str">
        <f>'Raw Data'!O320</f>
        <v>No</v>
      </c>
      <c r="T320" s="3" t="str">
        <f>'Raw Data'!P320</f>
        <v>David</v>
      </c>
      <c r="U320" s="3" t="str">
        <f t="shared" si="23"/>
        <v>January</v>
      </c>
      <c r="V320" s="11">
        <f t="shared" si="24"/>
        <v>0</v>
      </c>
    </row>
    <row r="321" spans="1:22" x14ac:dyDescent="0.25">
      <c r="A321" s="3">
        <f>'Raw Data'!A321</f>
        <v>100320</v>
      </c>
      <c r="B321" s="4">
        <f>'Raw Data'!B321</f>
        <v>46093</v>
      </c>
      <c r="C321" s="3" t="str">
        <f>'Raw Data'!C321</f>
        <v>AB-01</v>
      </c>
      <c r="D321" s="3" t="str">
        <f>PROPER(TRIM('Raw Data'!D321))</f>
        <v>Abuja</v>
      </c>
      <c r="E321" s="3" t="str">
        <f>'Raw Data'!E321</f>
        <v>In-store</v>
      </c>
      <c r="F321" s="3" t="str">
        <f>IF(PROPER(TRIM('Raw Data'!F321))="Accessory","Accessories",PROPER(TRIM('Raw Data'!F321)))</f>
        <v>Electronics</v>
      </c>
      <c r="G321" s="3" t="str">
        <f>'Raw Data'!G321</f>
        <v>Earbuds</v>
      </c>
      <c r="H321" s="3" t="str">
        <f>'Raw Data'!H321</f>
        <v>C1123</v>
      </c>
      <c r="I321" s="3" t="str">
        <f>'Raw Data'!I321</f>
        <v>Returning</v>
      </c>
      <c r="J321" s="3">
        <f>'Raw Data'!J321</f>
        <v>2</v>
      </c>
      <c r="K321" s="5">
        <f>'Raw Data'!K321</f>
        <v>32000</v>
      </c>
      <c r="L321" s="6">
        <f>'Raw Data'!L321</f>
        <v>0.2</v>
      </c>
      <c r="M321" s="5">
        <f>'Raw Data'!M321</f>
        <v>51200</v>
      </c>
      <c r="N321" s="5">
        <f t="shared" si="20"/>
        <v>51200</v>
      </c>
      <c r="O321" s="5">
        <f>'Raw Data'!N321</f>
        <v>19000</v>
      </c>
      <c r="P321" s="5">
        <f>IF(ISBLANK('Raw Data'!N321),AVERAGEIFS('Raw Data'!$N$2:$N$433,'Raw Data'!$G$2:$G$433,G321),'Raw Data'!N321)</f>
        <v>19000</v>
      </c>
      <c r="Q321" s="5">
        <f t="shared" si="21"/>
        <v>38000</v>
      </c>
      <c r="R321" s="5">
        <f t="shared" si="22"/>
        <v>13200</v>
      </c>
      <c r="S321" s="3" t="str">
        <f>'Raw Data'!O321</f>
        <v>No</v>
      </c>
      <c r="T321" s="3" t="str">
        <f>'Raw Data'!P321</f>
        <v>Fatima</v>
      </c>
      <c r="U321" s="3" t="str">
        <f t="shared" si="23"/>
        <v>March</v>
      </c>
      <c r="V321" s="11">
        <f t="shared" si="24"/>
        <v>0</v>
      </c>
    </row>
    <row r="322" spans="1:22" x14ac:dyDescent="0.25">
      <c r="A322" s="3">
        <f>'Raw Data'!A322</f>
        <v>100321</v>
      </c>
      <c r="B322" s="4">
        <f>'Raw Data'!B322</f>
        <v>46084</v>
      </c>
      <c r="C322" s="3" t="str">
        <f>'Raw Data'!C322</f>
        <v>LG-01</v>
      </c>
      <c r="D322" s="3" t="str">
        <f>PROPER(TRIM('Raw Data'!D322))</f>
        <v>Lagos</v>
      </c>
      <c r="E322" s="3" t="str">
        <f>'Raw Data'!E322</f>
        <v>In-store</v>
      </c>
      <c r="F322" s="3" t="str">
        <f>IF(PROPER(TRIM('Raw Data'!F322))="Accessory","Accessories",PROPER(TRIM('Raw Data'!F322)))</f>
        <v>Electronics</v>
      </c>
      <c r="G322" s="3" t="str">
        <f>'Raw Data'!G322</f>
        <v>Smartphone</v>
      </c>
      <c r="H322" s="3" t="str">
        <f>'Raw Data'!H322</f>
        <v>C1106</v>
      </c>
      <c r="I322" s="3" t="str">
        <f>'Raw Data'!I322</f>
        <v>Returning</v>
      </c>
      <c r="J322" s="3">
        <f>'Raw Data'!J322</f>
        <v>2</v>
      </c>
      <c r="K322" s="5">
        <f>'Raw Data'!K322</f>
        <v>165000</v>
      </c>
      <c r="L322" s="6">
        <f>'Raw Data'!L322</f>
        <v>0</v>
      </c>
      <c r="M322" s="5">
        <f>'Raw Data'!M322</f>
        <v>330000</v>
      </c>
      <c r="N322" s="5">
        <f t="shared" ref="N322:N385" si="25">J322*K322*(1-L322)</f>
        <v>330000</v>
      </c>
      <c r="O322" s="5">
        <f>'Raw Data'!N322</f>
        <v>112000</v>
      </c>
      <c r="P322" s="5">
        <f>IF(ISBLANK('Raw Data'!N322),AVERAGEIFS('Raw Data'!$N$2:$N$433,'Raw Data'!$G$2:$G$433,G322),'Raw Data'!N322)</f>
        <v>112000</v>
      </c>
      <c r="Q322" s="5">
        <f t="shared" ref="Q322:Q385" si="26">J322*P322</f>
        <v>224000</v>
      </c>
      <c r="R322" s="5">
        <f t="shared" ref="R322:R385" si="27">N322-Q322</f>
        <v>106000</v>
      </c>
      <c r="S322" s="3" t="str">
        <f>'Raw Data'!O322</f>
        <v>No</v>
      </c>
      <c r="T322" s="3" t="str">
        <f>'Raw Data'!P322</f>
        <v>Kemi</v>
      </c>
      <c r="U322" s="3" t="str">
        <f t="shared" ref="U322:U385" si="28">TEXT(B322,"mmmm")</f>
        <v>March</v>
      </c>
      <c r="V322" s="11">
        <f t="shared" si="24"/>
        <v>0</v>
      </c>
    </row>
    <row r="323" spans="1:22" x14ac:dyDescent="0.25">
      <c r="A323" s="3">
        <f>'Raw Data'!A323</f>
        <v>100322</v>
      </c>
      <c r="B323" s="4">
        <f>'Raw Data'!B323</f>
        <v>46187</v>
      </c>
      <c r="C323" s="3" t="str">
        <f>'Raw Data'!C323</f>
        <v>LG-02</v>
      </c>
      <c r="D323" s="3" t="str">
        <f>PROPER(TRIM('Raw Data'!D323))</f>
        <v>Lagos</v>
      </c>
      <c r="E323" s="3" t="str">
        <f>'Raw Data'!E323</f>
        <v>Online</v>
      </c>
      <c r="F323" s="3" t="str">
        <f>IF(PROPER(TRIM('Raw Data'!F323))="Accessory","Accessories",PROPER(TRIM('Raw Data'!F323)))</f>
        <v>Home</v>
      </c>
      <c r="G323" s="3" t="str">
        <f>'Raw Data'!G323</f>
        <v>Electric Kettle</v>
      </c>
      <c r="H323" s="3" t="str">
        <f>'Raw Data'!H323</f>
        <v>C1176</v>
      </c>
      <c r="I323" s="3" t="str">
        <f>'Raw Data'!I323</f>
        <v>New</v>
      </c>
      <c r="J323" s="3">
        <f>'Raw Data'!J323</f>
        <v>1</v>
      </c>
      <c r="K323" s="5">
        <f>'Raw Data'!K323</f>
        <v>24000</v>
      </c>
      <c r="L323" s="6">
        <f>'Raw Data'!L323</f>
        <v>0.1</v>
      </c>
      <c r="M323" s="5">
        <f>'Raw Data'!M323</f>
        <v>21600</v>
      </c>
      <c r="N323" s="5">
        <f t="shared" si="25"/>
        <v>21600</v>
      </c>
      <c r="O323" s="5">
        <f>'Raw Data'!N323</f>
        <v>15000</v>
      </c>
      <c r="P323" s="5">
        <f>IF(ISBLANK('Raw Data'!N323),AVERAGEIFS('Raw Data'!$N$2:$N$433,'Raw Data'!$G$2:$G$433,G323),'Raw Data'!N323)</f>
        <v>15000</v>
      </c>
      <c r="Q323" s="5">
        <f t="shared" si="26"/>
        <v>15000</v>
      </c>
      <c r="R323" s="5">
        <f t="shared" si="27"/>
        <v>6600</v>
      </c>
      <c r="S323" s="3" t="str">
        <f>'Raw Data'!O323</f>
        <v>No</v>
      </c>
      <c r="T323" s="3" t="str">
        <f>'Raw Data'!P323</f>
        <v>Grace</v>
      </c>
      <c r="U323" s="3" t="str">
        <f t="shared" si="28"/>
        <v>June</v>
      </c>
      <c r="V323" s="11">
        <f t="shared" ref="V323:V386" si="29">IF(S323="No",0,1)</f>
        <v>0</v>
      </c>
    </row>
    <row r="324" spans="1:22" x14ac:dyDescent="0.25">
      <c r="A324" s="3">
        <f>'Raw Data'!A324</f>
        <v>100323</v>
      </c>
      <c r="B324" s="4">
        <f>'Raw Data'!B324</f>
        <v>46079</v>
      </c>
      <c r="C324" s="3" t="str">
        <f>'Raw Data'!C324</f>
        <v>IB-01</v>
      </c>
      <c r="D324" s="3" t="str">
        <f>PROPER(TRIM('Raw Data'!D324))</f>
        <v>Ibadan</v>
      </c>
      <c r="E324" s="3" t="str">
        <f>'Raw Data'!E324</f>
        <v>WhatsApp</v>
      </c>
      <c r="F324" s="3" t="str">
        <f>IF(PROPER(TRIM('Raw Data'!F324))="Accessory","Accessories",PROPER(TRIM('Raw Data'!F324)))</f>
        <v>Electronics</v>
      </c>
      <c r="G324" s="3" t="str">
        <f>'Raw Data'!G324</f>
        <v>Smartphone</v>
      </c>
      <c r="H324" s="3" t="str">
        <f>'Raw Data'!H324</f>
        <v>C1166</v>
      </c>
      <c r="I324" s="3" t="str">
        <f>'Raw Data'!I324</f>
        <v>Returning</v>
      </c>
      <c r="J324" s="3">
        <f>'Raw Data'!J324</f>
        <v>2</v>
      </c>
      <c r="K324" s="5">
        <f>'Raw Data'!K324</f>
        <v>165000</v>
      </c>
      <c r="L324" s="6">
        <f>'Raw Data'!L324</f>
        <v>0</v>
      </c>
      <c r="M324" s="5">
        <f>'Raw Data'!M324</f>
        <v>330000</v>
      </c>
      <c r="N324" s="5">
        <f t="shared" si="25"/>
        <v>330000</v>
      </c>
      <c r="O324" s="5">
        <f>'Raw Data'!N324</f>
        <v>112000</v>
      </c>
      <c r="P324" s="5">
        <f>IF(ISBLANK('Raw Data'!N324),AVERAGEIFS('Raw Data'!$N$2:$N$433,'Raw Data'!$G$2:$G$433,G324),'Raw Data'!N324)</f>
        <v>112000</v>
      </c>
      <c r="Q324" s="5">
        <f t="shared" si="26"/>
        <v>224000</v>
      </c>
      <c r="R324" s="5">
        <f t="shared" si="27"/>
        <v>106000</v>
      </c>
      <c r="S324" s="3" t="str">
        <f>'Raw Data'!O324</f>
        <v>No</v>
      </c>
      <c r="T324" s="3" t="str">
        <f>'Raw Data'!P324</f>
        <v>Chinedu</v>
      </c>
      <c r="U324" s="3" t="str">
        <f t="shared" si="28"/>
        <v>February</v>
      </c>
      <c r="V324" s="11">
        <f t="shared" si="29"/>
        <v>0</v>
      </c>
    </row>
    <row r="325" spans="1:22" x14ac:dyDescent="0.25">
      <c r="A325" s="3">
        <f>'Raw Data'!A325</f>
        <v>100324</v>
      </c>
      <c r="B325" s="4">
        <f>'Raw Data'!B325</f>
        <v>46038</v>
      </c>
      <c r="C325" s="3" t="str">
        <f>'Raw Data'!C325</f>
        <v>IB-01</v>
      </c>
      <c r="D325" s="3" t="str">
        <f>PROPER(TRIM('Raw Data'!D325))</f>
        <v>Ibadan</v>
      </c>
      <c r="E325" s="3" t="str">
        <f>'Raw Data'!E325</f>
        <v>In-store</v>
      </c>
      <c r="F325" s="3" t="str">
        <f>IF(PROPER(TRIM('Raw Data'!F325))="Accessory","Accessories",PROPER(TRIM('Raw Data'!F325)))</f>
        <v>Electronics</v>
      </c>
      <c r="G325" s="3" t="str">
        <f>'Raw Data'!G325</f>
        <v>Smartphone</v>
      </c>
      <c r="H325" s="3" t="str">
        <f>'Raw Data'!H325</f>
        <v>C1027</v>
      </c>
      <c r="I325" s="3" t="str">
        <f>'Raw Data'!I325</f>
        <v>New</v>
      </c>
      <c r="J325" s="3">
        <f>'Raw Data'!J325</f>
        <v>3</v>
      </c>
      <c r="K325" s="5">
        <f>'Raw Data'!K325</f>
        <v>165000</v>
      </c>
      <c r="L325" s="6">
        <f>'Raw Data'!L325</f>
        <v>0.1</v>
      </c>
      <c r="M325" s="5">
        <f>'Raw Data'!M325</f>
        <v>445500</v>
      </c>
      <c r="N325" s="5">
        <f t="shared" si="25"/>
        <v>445500</v>
      </c>
      <c r="O325" s="5">
        <f>'Raw Data'!N325</f>
        <v>112000</v>
      </c>
      <c r="P325" s="5">
        <f>IF(ISBLANK('Raw Data'!N325),AVERAGEIFS('Raw Data'!$N$2:$N$433,'Raw Data'!$G$2:$G$433,G325),'Raw Data'!N325)</f>
        <v>112000</v>
      </c>
      <c r="Q325" s="5">
        <f t="shared" si="26"/>
        <v>336000</v>
      </c>
      <c r="R325" s="5">
        <f t="shared" si="27"/>
        <v>109500</v>
      </c>
      <c r="S325" s="3" t="str">
        <f>'Raw Data'!O325</f>
        <v>No</v>
      </c>
      <c r="T325" s="3" t="str">
        <f>'Raw Data'!P325</f>
        <v>David</v>
      </c>
      <c r="U325" s="3" t="str">
        <f t="shared" si="28"/>
        <v>January</v>
      </c>
      <c r="V325" s="11">
        <f t="shared" si="29"/>
        <v>0</v>
      </c>
    </row>
    <row r="326" spans="1:22" x14ac:dyDescent="0.25">
      <c r="A326" s="3">
        <f>'Raw Data'!A326</f>
        <v>100325</v>
      </c>
      <c r="B326" s="4">
        <f>'Raw Data'!B326</f>
        <v>46251</v>
      </c>
      <c r="C326" s="3" t="str">
        <f>'Raw Data'!C326</f>
        <v>KN-01</v>
      </c>
      <c r="D326" s="3" t="str">
        <f>PROPER(TRIM('Raw Data'!D326))</f>
        <v>Kano</v>
      </c>
      <c r="E326" s="3" t="str">
        <f>'Raw Data'!E326</f>
        <v>WhatsApp</v>
      </c>
      <c r="F326" s="3" t="str">
        <f>IF(PROPER(TRIM('Raw Data'!F326))="Accessory","Accessories",PROPER(TRIM('Raw Data'!F326)))</f>
        <v>Home</v>
      </c>
      <c r="G326" s="3" t="str">
        <f>'Raw Data'!G326</f>
        <v>Blender</v>
      </c>
      <c r="H326" s="3" t="str">
        <f>'Raw Data'!H326</f>
        <v>C1120</v>
      </c>
      <c r="I326" s="3" t="str">
        <f>'Raw Data'!I326</f>
        <v>Returning</v>
      </c>
      <c r="J326" s="3">
        <f>'Raw Data'!J326</f>
        <v>3</v>
      </c>
      <c r="K326" s="5">
        <f>'Raw Data'!K326</f>
        <v>42000</v>
      </c>
      <c r="L326" s="6">
        <f>'Raw Data'!L326</f>
        <v>0.05</v>
      </c>
      <c r="M326" s="5">
        <f>'Raw Data'!M326</f>
        <v>119700</v>
      </c>
      <c r="N326" s="5">
        <f t="shared" si="25"/>
        <v>119700</v>
      </c>
      <c r="O326" s="5">
        <f>'Raw Data'!N326</f>
        <v>28000</v>
      </c>
      <c r="P326" s="5">
        <f>IF(ISBLANK('Raw Data'!N326),AVERAGEIFS('Raw Data'!$N$2:$N$433,'Raw Data'!$G$2:$G$433,G326),'Raw Data'!N326)</f>
        <v>28000</v>
      </c>
      <c r="Q326" s="5">
        <f t="shared" si="26"/>
        <v>84000</v>
      </c>
      <c r="R326" s="5">
        <f t="shared" si="27"/>
        <v>35700</v>
      </c>
      <c r="S326" s="3" t="str">
        <f>'Raw Data'!O326</f>
        <v>No</v>
      </c>
      <c r="T326" s="3" t="str">
        <f>'Raw Data'!P326</f>
        <v>Chinedu</v>
      </c>
      <c r="U326" s="3" t="str">
        <f t="shared" si="28"/>
        <v>August</v>
      </c>
      <c r="V326" s="11">
        <f t="shared" si="29"/>
        <v>0</v>
      </c>
    </row>
    <row r="327" spans="1:22" x14ac:dyDescent="0.25">
      <c r="A327" s="3">
        <f>'Raw Data'!A327</f>
        <v>100326</v>
      </c>
      <c r="B327" s="4">
        <f>'Raw Data'!B327</f>
        <v>46165</v>
      </c>
      <c r="C327" s="3" t="str">
        <f>'Raw Data'!C327</f>
        <v>IB-01</v>
      </c>
      <c r="D327" s="3" t="str">
        <f>PROPER(TRIM('Raw Data'!D327))</f>
        <v>Ibadan</v>
      </c>
      <c r="E327" s="3" t="str">
        <f>'Raw Data'!E327</f>
        <v>Online</v>
      </c>
      <c r="F327" s="3" t="str">
        <f>IF(PROPER(TRIM('Raw Data'!F327))="Accessory","Accessories",PROPER(TRIM('Raw Data'!F327)))</f>
        <v>Electronics</v>
      </c>
      <c r="G327" s="3" t="str">
        <f>'Raw Data'!G327</f>
        <v>Earbuds</v>
      </c>
      <c r="H327" s="3" t="str">
        <f>'Raw Data'!H327</f>
        <v>C1064</v>
      </c>
      <c r="I327" s="3" t="str">
        <f>'Raw Data'!I327</f>
        <v>Returning</v>
      </c>
      <c r="J327" s="3">
        <f>'Raw Data'!J327</f>
        <v>5</v>
      </c>
      <c r="K327" s="5">
        <f>'Raw Data'!K327</f>
        <v>32000</v>
      </c>
      <c r="L327" s="6">
        <f>'Raw Data'!L327</f>
        <v>0.05</v>
      </c>
      <c r="M327" s="5">
        <f>'Raw Data'!M327</f>
        <v>152000</v>
      </c>
      <c r="N327" s="5">
        <f t="shared" si="25"/>
        <v>152000</v>
      </c>
      <c r="O327" s="5">
        <f>'Raw Data'!N327</f>
        <v>19000</v>
      </c>
      <c r="P327" s="5">
        <f>IF(ISBLANK('Raw Data'!N327),AVERAGEIFS('Raw Data'!$N$2:$N$433,'Raw Data'!$G$2:$G$433,G327),'Raw Data'!N327)</f>
        <v>19000</v>
      </c>
      <c r="Q327" s="5">
        <f t="shared" si="26"/>
        <v>95000</v>
      </c>
      <c r="R327" s="5">
        <f t="shared" si="27"/>
        <v>57000</v>
      </c>
      <c r="S327" s="3" t="str">
        <f>'Raw Data'!O327</f>
        <v>No</v>
      </c>
      <c r="T327" s="3" t="str">
        <f>'Raw Data'!P327</f>
        <v>Grace</v>
      </c>
      <c r="U327" s="3" t="str">
        <f t="shared" si="28"/>
        <v>May</v>
      </c>
      <c r="V327" s="11">
        <f t="shared" si="29"/>
        <v>0</v>
      </c>
    </row>
    <row r="328" spans="1:22" x14ac:dyDescent="0.25">
      <c r="A328" s="3">
        <f>'Raw Data'!A328</f>
        <v>100327</v>
      </c>
      <c r="B328" s="4">
        <f>'Raw Data'!B328</f>
        <v>46141</v>
      </c>
      <c r="C328" s="3" t="str">
        <f>'Raw Data'!C328</f>
        <v>LG-02</v>
      </c>
      <c r="D328" s="3" t="str">
        <f>PROPER(TRIM('Raw Data'!D328))</f>
        <v>Lagos</v>
      </c>
      <c r="E328" s="3" t="str">
        <f>'Raw Data'!E328</f>
        <v>In-store</v>
      </c>
      <c r="F328" s="3" t="str">
        <f>IF(PROPER(TRIM('Raw Data'!F328))="Accessory","Accessories",PROPER(TRIM('Raw Data'!F328)))</f>
        <v>Electronics</v>
      </c>
      <c r="G328" s="3" t="str">
        <f>'Raw Data'!G328</f>
        <v>Power Bank</v>
      </c>
      <c r="H328" s="3" t="str">
        <f>'Raw Data'!H328</f>
        <v>C1123</v>
      </c>
      <c r="I328" s="3" t="str">
        <f>'Raw Data'!I328</f>
        <v>New</v>
      </c>
      <c r="J328" s="3">
        <f>'Raw Data'!J328</f>
        <v>1</v>
      </c>
      <c r="K328" s="5">
        <f>'Raw Data'!K328</f>
        <v>26000</v>
      </c>
      <c r="L328" s="6">
        <f>'Raw Data'!L328</f>
        <v>0.1</v>
      </c>
      <c r="M328" s="5">
        <f>'Raw Data'!M328</f>
        <v>23400</v>
      </c>
      <c r="N328" s="5">
        <f t="shared" si="25"/>
        <v>23400</v>
      </c>
      <c r="O328" s="5">
        <f>'Raw Data'!N328</f>
        <v>15000</v>
      </c>
      <c r="P328" s="5">
        <f>IF(ISBLANK('Raw Data'!N328),AVERAGEIFS('Raw Data'!$N$2:$N$433,'Raw Data'!$G$2:$G$433,G328),'Raw Data'!N328)</f>
        <v>15000</v>
      </c>
      <c r="Q328" s="5">
        <f t="shared" si="26"/>
        <v>15000</v>
      </c>
      <c r="R328" s="5">
        <f t="shared" si="27"/>
        <v>8400</v>
      </c>
      <c r="S328" s="3" t="str">
        <f>'Raw Data'!O328</f>
        <v>No</v>
      </c>
      <c r="T328" s="3" t="str">
        <f>'Raw Data'!P328</f>
        <v>Kemi</v>
      </c>
      <c r="U328" s="3" t="str">
        <f t="shared" si="28"/>
        <v>April</v>
      </c>
      <c r="V328" s="11">
        <f t="shared" si="29"/>
        <v>0</v>
      </c>
    </row>
    <row r="329" spans="1:22" x14ac:dyDescent="0.25">
      <c r="A329" s="3">
        <f>'Raw Data'!A329</f>
        <v>100328</v>
      </c>
      <c r="B329" s="4">
        <f>'Raw Data'!B329</f>
        <v>46144</v>
      </c>
      <c r="C329" s="3" t="str">
        <f>'Raw Data'!C329</f>
        <v>KN-01</v>
      </c>
      <c r="D329" s="3" t="str">
        <f>PROPER(TRIM('Raw Data'!D329))</f>
        <v>Kano</v>
      </c>
      <c r="E329" s="3" t="str">
        <f>'Raw Data'!E329</f>
        <v>WhatsApp</v>
      </c>
      <c r="F329" s="3" t="str">
        <f>IF(PROPER(TRIM('Raw Data'!F329))="Accessory","Accessories",PROPER(TRIM('Raw Data'!F329)))</f>
        <v>Home</v>
      </c>
      <c r="G329" s="3" t="str">
        <f>'Raw Data'!G329</f>
        <v>Blender</v>
      </c>
      <c r="H329" s="3" t="str">
        <f>'Raw Data'!H329</f>
        <v>C1079</v>
      </c>
      <c r="I329" s="3" t="str">
        <f>'Raw Data'!I329</f>
        <v>Returning</v>
      </c>
      <c r="J329" s="3">
        <f>'Raw Data'!J329</f>
        <v>1</v>
      </c>
      <c r="K329" s="5">
        <f>'Raw Data'!K329</f>
        <v>42000</v>
      </c>
      <c r="L329" s="6">
        <f>'Raw Data'!L329</f>
        <v>0.05</v>
      </c>
      <c r="M329" s="5">
        <f>'Raw Data'!M329</f>
        <v>39900</v>
      </c>
      <c r="N329" s="5">
        <f t="shared" si="25"/>
        <v>39900</v>
      </c>
      <c r="O329" s="5">
        <f>'Raw Data'!N329</f>
        <v>28000</v>
      </c>
      <c r="P329" s="5">
        <f>IF(ISBLANK('Raw Data'!N329),AVERAGEIFS('Raw Data'!$N$2:$N$433,'Raw Data'!$G$2:$G$433,G329),'Raw Data'!N329)</f>
        <v>28000</v>
      </c>
      <c r="Q329" s="5">
        <f t="shared" si="26"/>
        <v>28000</v>
      </c>
      <c r="R329" s="5">
        <f t="shared" si="27"/>
        <v>11900</v>
      </c>
      <c r="S329" s="3" t="str">
        <f>'Raw Data'!O329</f>
        <v>No</v>
      </c>
      <c r="T329" s="3" t="str">
        <f>'Raw Data'!P329</f>
        <v>Grace</v>
      </c>
      <c r="U329" s="3" t="str">
        <f t="shared" si="28"/>
        <v>May</v>
      </c>
      <c r="V329" s="11">
        <f t="shared" si="29"/>
        <v>0</v>
      </c>
    </row>
    <row r="330" spans="1:22" x14ac:dyDescent="0.25">
      <c r="A330" s="3">
        <f>'Raw Data'!A330</f>
        <v>100329</v>
      </c>
      <c r="B330" s="4">
        <f>'Raw Data'!B330</f>
        <v>46023</v>
      </c>
      <c r="C330" s="3" t="str">
        <f>'Raw Data'!C330</f>
        <v>IB-01</v>
      </c>
      <c r="D330" s="3" t="str">
        <f>PROPER(TRIM('Raw Data'!D330))</f>
        <v>Ibadan</v>
      </c>
      <c r="E330" s="3" t="str">
        <f>'Raw Data'!E330</f>
        <v>WhatsApp</v>
      </c>
      <c r="F330" s="3" t="str">
        <f>IF(PROPER(TRIM('Raw Data'!F330))="Accessory","Accessories",PROPER(TRIM('Raw Data'!F330)))</f>
        <v>Electronics</v>
      </c>
      <c r="G330" s="3" t="str">
        <f>'Raw Data'!G330</f>
        <v>Earbuds</v>
      </c>
      <c r="H330" s="3" t="str">
        <f>'Raw Data'!H330</f>
        <v>C1143</v>
      </c>
      <c r="I330" s="3" t="str">
        <f>'Raw Data'!I330</f>
        <v>Returning</v>
      </c>
      <c r="J330" s="3">
        <f>'Raw Data'!J330</f>
        <v>2</v>
      </c>
      <c r="K330" s="5">
        <f>'Raw Data'!K330</f>
        <v>32000</v>
      </c>
      <c r="L330" s="6">
        <f>'Raw Data'!L330</f>
        <v>0</v>
      </c>
      <c r="M330" s="5">
        <f>'Raw Data'!M330</f>
        <v>64000</v>
      </c>
      <c r="N330" s="5">
        <f t="shared" si="25"/>
        <v>64000</v>
      </c>
      <c r="O330" s="5">
        <f>'Raw Data'!N330</f>
        <v>19000</v>
      </c>
      <c r="P330" s="5">
        <f>IF(ISBLANK('Raw Data'!N330),AVERAGEIFS('Raw Data'!$N$2:$N$433,'Raw Data'!$G$2:$G$433,G330),'Raw Data'!N330)</f>
        <v>19000</v>
      </c>
      <c r="Q330" s="5">
        <f t="shared" si="26"/>
        <v>38000</v>
      </c>
      <c r="R330" s="5">
        <f t="shared" si="27"/>
        <v>26000</v>
      </c>
      <c r="S330" s="3" t="str">
        <f>'Raw Data'!O330</f>
        <v>Yes</v>
      </c>
      <c r="T330" s="3" t="str">
        <f>'Raw Data'!P330</f>
        <v>Fatima</v>
      </c>
      <c r="U330" s="3" t="str">
        <f t="shared" si="28"/>
        <v>January</v>
      </c>
      <c r="V330" s="11">
        <f t="shared" si="29"/>
        <v>1</v>
      </c>
    </row>
    <row r="331" spans="1:22" x14ac:dyDescent="0.25">
      <c r="A331" s="3">
        <f>'Raw Data'!A331</f>
        <v>100330</v>
      </c>
      <c r="B331" s="4">
        <f>'Raw Data'!B331</f>
        <v>46153</v>
      </c>
      <c r="C331" s="3" t="str">
        <f>'Raw Data'!C331</f>
        <v>LG-02</v>
      </c>
      <c r="D331" s="3" t="str">
        <f>PROPER(TRIM('Raw Data'!D331))</f>
        <v>Lagos</v>
      </c>
      <c r="E331" s="3" t="str">
        <f>'Raw Data'!E331</f>
        <v>In-store</v>
      </c>
      <c r="F331" s="3" t="str">
        <f>IF(PROPER(TRIM('Raw Data'!F331))="Accessory","Accessories",PROPER(TRIM('Raw Data'!F331)))</f>
        <v>Home</v>
      </c>
      <c r="G331" s="3" t="str">
        <f>'Raw Data'!G331</f>
        <v>Standing Fan</v>
      </c>
      <c r="H331" s="3" t="str">
        <f>'Raw Data'!H331</f>
        <v>C1034</v>
      </c>
      <c r="I331" s="3" t="str">
        <f>'Raw Data'!I331</f>
        <v>New</v>
      </c>
      <c r="J331" s="3">
        <f>'Raw Data'!J331</f>
        <v>2</v>
      </c>
      <c r="K331" s="5">
        <f>'Raw Data'!K331</f>
        <v>58000</v>
      </c>
      <c r="L331" s="6">
        <f>'Raw Data'!L331</f>
        <v>0.1</v>
      </c>
      <c r="M331" s="5">
        <f>'Raw Data'!M331</f>
        <v>104400</v>
      </c>
      <c r="N331" s="5">
        <f t="shared" si="25"/>
        <v>104400</v>
      </c>
      <c r="O331" s="5">
        <f>'Raw Data'!N331</f>
        <v>39000</v>
      </c>
      <c r="P331" s="5">
        <f>IF(ISBLANK('Raw Data'!N331),AVERAGEIFS('Raw Data'!$N$2:$N$433,'Raw Data'!$G$2:$G$433,G331),'Raw Data'!N331)</f>
        <v>39000</v>
      </c>
      <c r="Q331" s="5">
        <f t="shared" si="26"/>
        <v>78000</v>
      </c>
      <c r="R331" s="5">
        <f t="shared" si="27"/>
        <v>26400</v>
      </c>
      <c r="S331" s="3" t="str">
        <f>'Raw Data'!O331</f>
        <v>No</v>
      </c>
      <c r="T331" s="3" t="str">
        <f>'Raw Data'!P331</f>
        <v>David</v>
      </c>
      <c r="U331" s="3" t="str">
        <f t="shared" si="28"/>
        <v>May</v>
      </c>
      <c r="V331" s="11">
        <f t="shared" si="29"/>
        <v>0</v>
      </c>
    </row>
    <row r="332" spans="1:22" x14ac:dyDescent="0.25">
      <c r="A332" s="3">
        <f>'Raw Data'!A332</f>
        <v>100331</v>
      </c>
      <c r="B332" s="4">
        <f>'Raw Data'!B332</f>
        <v>46070</v>
      </c>
      <c r="C332" s="3" t="str">
        <f>'Raw Data'!C332</f>
        <v>KN-01</v>
      </c>
      <c r="D332" s="3" t="str">
        <f>PROPER(TRIM('Raw Data'!D332))</f>
        <v>Kano</v>
      </c>
      <c r="E332" s="3" t="str">
        <f>'Raw Data'!E332</f>
        <v>Online</v>
      </c>
      <c r="F332" s="3" t="str">
        <f>IF(PROPER(TRIM('Raw Data'!F332))="Accessory","Accessories",PROPER(TRIM('Raw Data'!F332)))</f>
        <v>Accessories</v>
      </c>
      <c r="G332" s="3" t="str">
        <f>'Raw Data'!G332</f>
        <v>Phone Case</v>
      </c>
      <c r="H332" s="3" t="str">
        <f>'Raw Data'!H332</f>
        <v>C1001</v>
      </c>
      <c r="I332" s="3" t="str">
        <f>'Raw Data'!I332</f>
        <v>Returning</v>
      </c>
      <c r="J332" s="3">
        <f>'Raw Data'!J332</f>
        <v>1</v>
      </c>
      <c r="K332" s="5">
        <f>'Raw Data'!K332</f>
        <v>9000</v>
      </c>
      <c r="L332" s="6">
        <f>'Raw Data'!L332</f>
        <v>0.05</v>
      </c>
      <c r="M332" s="5">
        <f>'Raw Data'!M332</f>
        <v>8550</v>
      </c>
      <c r="N332" s="5">
        <f t="shared" si="25"/>
        <v>8550</v>
      </c>
      <c r="O332" s="3">
        <f>'Raw Data'!N332</f>
        <v>0</v>
      </c>
      <c r="P332" s="5">
        <f>IF(ISBLANK('Raw Data'!N332),AVERAGEIFS('Raw Data'!$N$2:$N$433,'Raw Data'!$G$2:$G$433,G332),'Raw Data'!N332)</f>
        <v>3500</v>
      </c>
      <c r="Q332" s="5">
        <f t="shared" si="26"/>
        <v>3500</v>
      </c>
      <c r="R332" s="5">
        <f t="shared" si="27"/>
        <v>5050</v>
      </c>
      <c r="S332" s="3" t="str">
        <f>'Raw Data'!O332</f>
        <v>No</v>
      </c>
      <c r="T332" s="3" t="str">
        <f>'Raw Data'!P332</f>
        <v>Chinedu</v>
      </c>
      <c r="U332" s="3" t="str">
        <f t="shared" si="28"/>
        <v>February</v>
      </c>
      <c r="V332" s="11">
        <f t="shared" si="29"/>
        <v>0</v>
      </c>
    </row>
    <row r="333" spans="1:22" x14ac:dyDescent="0.25">
      <c r="A333" s="3">
        <f>'Raw Data'!A333</f>
        <v>100332</v>
      </c>
      <c r="B333" s="4">
        <f>'Raw Data'!B333</f>
        <v>46100</v>
      </c>
      <c r="C333" s="3" t="str">
        <f>'Raw Data'!C333</f>
        <v>AB-01</v>
      </c>
      <c r="D333" s="3" t="str">
        <f>PROPER(TRIM('Raw Data'!D333))</f>
        <v>Abuja</v>
      </c>
      <c r="E333" s="3" t="str">
        <f>'Raw Data'!E333</f>
        <v>In-store</v>
      </c>
      <c r="F333" s="3" t="str">
        <f>IF(PROPER(TRIM('Raw Data'!F333))="Accessory","Accessories",PROPER(TRIM('Raw Data'!F333)))</f>
        <v>Electronics</v>
      </c>
      <c r="G333" s="3" t="str">
        <f>'Raw Data'!G333</f>
        <v>Earbuds</v>
      </c>
      <c r="H333" s="3" t="str">
        <f>'Raw Data'!H333</f>
        <v>C1024</v>
      </c>
      <c r="I333" s="3" t="str">
        <f>'Raw Data'!I333</f>
        <v>New</v>
      </c>
      <c r="J333" s="3">
        <f>'Raw Data'!J333</f>
        <v>1</v>
      </c>
      <c r="K333" s="5">
        <f>'Raw Data'!K333</f>
        <v>32000</v>
      </c>
      <c r="L333" s="6">
        <f>'Raw Data'!L333</f>
        <v>0.05</v>
      </c>
      <c r="M333" s="5">
        <f>'Raw Data'!M333</f>
        <v>30400</v>
      </c>
      <c r="N333" s="5">
        <f t="shared" si="25"/>
        <v>30400</v>
      </c>
      <c r="O333" s="5">
        <f>'Raw Data'!N333</f>
        <v>19000</v>
      </c>
      <c r="P333" s="5">
        <f>IF(ISBLANK('Raw Data'!N333),AVERAGEIFS('Raw Data'!$N$2:$N$433,'Raw Data'!$G$2:$G$433,G333),'Raw Data'!N333)</f>
        <v>19000</v>
      </c>
      <c r="Q333" s="5">
        <f t="shared" si="26"/>
        <v>19000</v>
      </c>
      <c r="R333" s="5">
        <f t="shared" si="27"/>
        <v>11400</v>
      </c>
      <c r="S333" s="3" t="str">
        <f>'Raw Data'!O333</f>
        <v>No</v>
      </c>
      <c r="T333" s="3" t="str">
        <f>'Raw Data'!P333</f>
        <v>David</v>
      </c>
      <c r="U333" s="3" t="str">
        <f t="shared" si="28"/>
        <v>March</v>
      </c>
      <c r="V333" s="11">
        <f t="shared" si="29"/>
        <v>0</v>
      </c>
    </row>
    <row r="334" spans="1:22" x14ac:dyDescent="0.25">
      <c r="A334" s="3">
        <f>'Raw Data'!A334</f>
        <v>100333</v>
      </c>
      <c r="B334" s="4">
        <f>'Raw Data'!B334</f>
        <v>46027</v>
      </c>
      <c r="C334" s="3" t="str">
        <f>'Raw Data'!C334</f>
        <v>AB-01</v>
      </c>
      <c r="D334" s="3" t="str">
        <f>PROPER(TRIM('Raw Data'!D334))</f>
        <v>Abuja</v>
      </c>
      <c r="E334" s="3" t="str">
        <f>'Raw Data'!E334</f>
        <v>Online</v>
      </c>
      <c r="F334" s="3" t="str">
        <f>IF(PROPER(TRIM('Raw Data'!F334))="Accessory","Accessories",PROPER(TRIM('Raw Data'!F334)))</f>
        <v>Electronics</v>
      </c>
      <c r="G334" s="3" t="str">
        <f>'Raw Data'!G334</f>
        <v>Earbuds</v>
      </c>
      <c r="H334" s="3" t="str">
        <f>'Raw Data'!H334</f>
        <v>C1174</v>
      </c>
      <c r="I334" s="3" t="str">
        <f>'Raw Data'!I334</f>
        <v>New</v>
      </c>
      <c r="J334" s="3">
        <f>'Raw Data'!J334</f>
        <v>5</v>
      </c>
      <c r="K334" s="5">
        <f>'Raw Data'!K334</f>
        <v>32000</v>
      </c>
      <c r="L334" s="6">
        <f>'Raw Data'!L334</f>
        <v>0.1</v>
      </c>
      <c r="M334" s="5">
        <f>'Raw Data'!M334</f>
        <v>144000</v>
      </c>
      <c r="N334" s="5">
        <f t="shared" si="25"/>
        <v>144000</v>
      </c>
      <c r="O334" s="5">
        <f>'Raw Data'!N334</f>
        <v>19000</v>
      </c>
      <c r="P334" s="5">
        <f>IF(ISBLANK('Raw Data'!N334),AVERAGEIFS('Raw Data'!$N$2:$N$433,'Raw Data'!$G$2:$G$433,G334),'Raw Data'!N334)</f>
        <v>19000</v>
      </c>
      <c r="Q334" s="5">
        <f t="shared" si="26"/>
        <v>95000</v>
      </c>
      <c r="R334" s="5">
        <f t="shared" si="27"/>
        <v>49000</v>
      </c>
      <c r="S334" s="3" t="str">
        <f>'Raw Data'!O334</f>
        <v>No</v>
      </c>
      <c r="T334" s="3" t="str">
        <f>'Raw Data'!P334</f>
        <v>Grace</v>
      </c>
      <c r="U334" s="3" t="str">
        <f t="shared" si="28"/>
        <v>January</v>
      </c>
      <c r="V334" s="11">
        <f t="shared" si="29"/>
        <v>0</v>
      </c>
    </row>
    <row r="335" spans="1:22" x14ac:dyDescent="0.25">
      <c r="A335" s="3">
        <f>'Raw Data'!A335</f>
        <v>100334</v>
      </c>
      <c r="B335" s="4">
        <f>'Raw Data'!B335</f>
        <v>46219</v>
      </c>
      <c r="C335" s="3" t="str">
        <f>'Raw Data'!C335</f>
        <v>LG-01</v>
      </c>
      <c r="D335" s="3" t="str">
        <f>PROPER(TRIM('Raw Data'!D335))</f>
        <v>Lagos</v>
      </c>
      <c r="E335" s="3" t="str">
        <f>'Raw Data'!E335</f>
        <v>In-store</v>
      </c>
      <c r="F335" s="3" t="str">
        <f>IF(PROPER(TRIM('Raw Data'!F335))="Accessory","Accessories",PROPER(TRIM('Raw Data'!F335)))</f>
        <v>Accessories</v>
      </c>
      <c r="G335" s="3" t="str">
        <f>'Raw Data'!G335</f>
        <v>Phone Case</v>
      </c>
      <c r="H335" s="3" t="str">
        <f>'Raw Data'!H335</f>
        <v>C1079</v>
      </c>
      <c r="I335" s="3" t="str">
        <f>'Raw Data'!I335</f>
        <v>Returning</v>
      </c>
      <c r="J335" s="3">
        <f>'Raw Data'!J335</f>
        <v>1</v>
      </c>
      <c r="K335" s="5">
        <f>'Raw Data'!K335</f>
        <v>9000</v>
      </c>
      <c r="L335" s="6">
        <f>'Raw Data'!L335</f>
        <v>0</v>
      </c>
      <c r="M335" s="5">
        <f>'Raw Data'!M335</f>
        <v>9000</v>
      </c>
      <c r="N335" s="5">
        <f t="shared" si="25"/>
        <v>9000</v>
      </c>
      <c r="O335" s="5">
        <f>'Raw Data'!N335</f>
        <v>3500</v>
      </c>
      <c r="P335" s="5">
        <f>IF(ISBLANK('Raw Data'!N335),AVERAGEIFS('Raw Data'!$N$2:$N$433,'Raw Data'!$G$2:$G$433,G335),'Raw Data'!N335)</f>
        <v>3500</v>
      </c>
      <c r="Q335" s="5">
        <f t="shared" si="26"/>
        <v>3500</v>
      </c>
      <c r="R335" s="5">
        <f t="shared" si="27"/>
        <v>5500</v>
      </c>
      <c r="S335" s="3" t="str">
        <f>'Raw Data'!O335</f>
        <v>No</v>
      </c>
      <c r="T335" s="3" t="str">
        <f>'Raw Data'!P335</f>
        <v>Grace</v>
      </c>
      <c r="U335" s="3" t="str">
        <f t="shared" si="28"/>
        <v>July</v>
      </c>
      <c r="V335" s="11">
        <f t="shared" si="29"/>
        <v>0</v>
      </c>
    </row>
    <row r="336" spans="1:22" x14ac:dyDescent="0.25">
      <c r="A336" s="3">
        <f>'Raw Data'!A336</f>
        <v>100335</v>
      </c>
      <c r="B336" s="4">
        <f>'Raw Data'!B336</f>
        <v>46026</v>
      </c>
      <c r="C336" s="3" t="str">
        <f>'Raw Data'!C336</f>
        <v>IB-01</v>
      </c>
      <c r="D336" s="3" t="str">
        <f>PROPER(TRIM('Raw Data'!D336))</f>
        <v>Ibadan</v>
      </c>
      <c r="E336" s="3" t="str">
        <f>'Raw Data'!E336</f>
        <v>Online</v>
      </c>
      <c r="F336" s="3" t="str">
        <f>IF(PROPER(TRIM('Raw Data'!F336))="Accessory","Accessories",PROPER(TRIM('Raw Data'!F336)))</f>
        <v>Electronics</v>
      </c>
      <c r="G336" s="3" t="str">
        <f>'Raw Data'!G336</f>
        <v>Earbuds</v>
      </c>
      <c r="H336" s="3" t="str">
        <f>'Raw Data'!H336</f>
        <v>C1105</v>
      </c>
      <c r="I336" s="3" t="str">
        <f>'Raw Data'!I336</f>
        <v>New</v>
      </c>
      <c r="J336" s="3">
        <f>'Raw Data'!J336</f>
        <v>1</v>
      </c>
      <c r="K336" s="5">
        <f>'Raw Data'!K336</f>
        <v>32000</v>
      </c>
      <c r="L336" s="6">
        <f>'Raw Data'!L336</f>
        <v>0.1</v>
      </c>
      <c r="M336" s="5">
        <f>'Raw Data'!M336</f>
        <v>28800</v>
      </c>
      <c r="N336" s="5">
        <f t="shared" si="25"/>
        <v>28800</v>
      </c>
      <c r="O336" s="5">
        <f>'Raw Data'!N336</f>
        <v>19000</v>
      </c>
      <c r="P336" s="5">
        <f>IF(ISBLANK('Raw Data'!N336),AVERAGEIFS('Raw Data'!$N$2:$N$433,'Raw Data'!$G$2:$G$433,G336),'Raw Data'!N336)</f>
        <v>19000</v>
      </c>
      <c r="Q336" s="5">
        <f t="shared" si="26"/>
        <v>19000</v>
      </c>
      <c r="R336" s="5">
        <f t="shared" si="27"/>
        <v>9800</v>
      </c>
      <c r="S336" s="3" t="str">
        <f>'Raw Data'!O336</f>
        <v>No</v>
      </c>
      <c r="T336" s="3" t="str">
        <f>'Raw Data'!P336</f>
        <v>Aisha</v>
      </c>
      <c r="U336" s="3" t="str">
        <f t="shared" si="28"/>
        <v>January</v>
      </c>
      <c r="V336" s="11">
        <f t="shared" si="29"/>
        <v>0</v>
      </c>
    </row>
    <row r="337" spans="1:22" x14ac:dyDescent="0.25">
      <c r="A337" s="3">
        <f>'Raw Data'!A337</f>
        <v>100336</v>
      </c>
      <c r="B337" s="4">
        <f>'Raw Data'!B337</f>
        <v>46085</v>
      </c>
      <c r="C337" s="3" t="str">
        <f>'Raw Data'!C337</f>
        <v>IB-01</v>
      </c>
      <c r="D337" s="3" t="str">
        <f>PROPER(TRIM('Raw Data'!D337))</f>
        <v>Ibadan</v>
      </c>
      <c r="E337" s="3" t="str">
        <f>'Raw Data'!E337</f>
        <v>WhatsApp</v>
      </c>
      <c r="F337" s="3" t="str">
        <f>IF(PROPER(TRIM('Raw Data'!F337))="Accessory","Accessories",PROPER(TRIM('Raw Data'!F337)))</f>
        <v>Electronics</v>
      </c>
      <c r="G337" s="3" t="str">
        <f>'Raw Data'!G337</f>
        <v>Smartphone</v>
      </c>
      <c r="H337" s="3" t="str">
        <f>'Raw Data'!H337</f>
        <v>C1154</v>
      </c>
      <c r="I337" s="3" t="str">
        <f>'Raw Data'!I337</f>
        <v>Returning</v>
      </c>
      <c r="J337" s="3">
        <f>'Raw Data'!J337</f>
        <v>2</v>
      </c>
      <c r="K337" s="5">
        <f>'Raw Data'!K337</f>
        <v>165000</v>
      </c>
      <c r="L337" s="6">
        <f>'Raw Data'!L337</f>
        <v>0.15</v>
      </c>
      <c r="M337" s="5">
        <f>'Raw Data'!M337</f>
        <v>280500</v>
      </c>
      <c r="N337" s="5">
        <f t="shared" si="25"/>
        <v>280500</v>
      </c>
      <c r="O337" s="5">
        <f>'Raw Data'!N337</f>
        <v>112000</v>
      </c>
      <c r="P337" s="5">
        <f>IF(ISBLANK('Raw Data'!N337),AVERAGEIFS('Raw Data'!$N$2:$N$433,'Raw Data'!$G$2:$G$433,G337),'Raw Data'!N337)</f>
        <v>112000</v>
      </c>
      <c r="Q337" s="5">
        <f t="shared" si="26"/>
        <v>224000</v>
      </c>
      <c r="R337" s="5">
        <f t="shared" si="27"/>
        <v>56500</v>
      </c>
      <c r="S337" s="3" t="str">
        <f>'Raw Data'!O337</f>
        <v>No</v>
      </c>
      <c r="T337" s="3" t="str">
        <f>'Raw Data'!P337</f>
        <v>Fatima</v>
      </c>
      <c r="U337" s="3" t="str">
        <f t="shared" si="28"/>
        <v>March</v>
      </c>
      <c r="V337" s="11">
        <f t="shared" si="29"/>
        <v>0</v>
      </c>
    </row>
    <row r="338" spans="1:22" x14ac:dyDescent="0.25">
      <c r="A338" s="3">
        <f>'Raw Data'!A338</f>
        <v>100337</v>
      </c>
      <c r="B338" s="4">
        <f>'Raw Data'!B338</f>
        <v>46085</v>
      </c>
      <c r="C338" s="3" t="str">
        <f>'Raw Data'!C338</f>
        <v>KN-01</v>
      </c>
      <c r="D338" s="3" t="str">
        <f>PROPER(TRIM('Raw Data'!D338))</f>
        <v>Kano</v>
      </c>
      <c r="E338" s="3" t="str">
        <f>'Raw Data'!E338</f>
        <v>In-store</v>
      </c>
      <c r="F338" s="3" t="str">
        <f>IF(PROPER(TRIM('Raw Data'!F338))="Accessory","Accessories",PROPER(TRIM('Raw Data'!F338)))</f>
        <v>Accessories</v>
      </c>
      <c r="G338" s="3" t="str">
        <f>'Raw Data'!G338</f>
        <v>USB Cable</v>
      </c>
      <c r="H338" s="3" t="str">
        <f>'Raw Data'!H338</f>
        <v>C1086</v>
      </c>
      <c r="I338" s="3" t="str">
        <f>'Raw Data'!I338</f>
        <v>New</v>
      </c>
      <c r="J338" s="3">
        <f>'Raw Data'!J338</f>
        <v>3</v>
      </c>
      <c r="K338" s="5">
        <f>'Raw Data'!K338</f>
        <v>6500</v>
      </c>
      <c r="L338" s="6">
        <f>'Raw Data'!L338</f>
        <v>0.15</v>
      </c>
      <c r="M338" s="5">
        <f>'Raw Data'!M338</f>
        <v>16575</v>
      </c>
      <c r="N338" s="5">
        <f t="shared" si="25"/>
        <v>16575</v>
      </c>
      <c r="O338" s="5">
        <f>'Raw Data'!N338</f>
        <v>2200</v>
      </c>
      <c r="P338" s="5">
        <f>IF(ISBLANK('Raw Data'!N338),AVERAGEIFS('Raw Data'!$N$2:$N$433,'Raw Data'!$G$2:$G$433,G338),'Raw Data'!N338)</f>
        <v>2200</v>
      </c>
      <c r="Q338" s="5">
        <f t="shared" si="26"/>
        <v>6600</v>
      </c>
      <c r="R338" s="5">
        <f t="shared" si="27"/>
        <v>9975</v>
      </c>
      <c r="S338" s="3" t="str">
        <f>'Raw Data'!O338</f>
        <v>No</v>
      </c>
      <c r="T338" s="3" t="str">
        <f>'Raw Data'!P338</f>
        <v>Chinedu</v>
      </c>
      <c r="U338" s="3" t="str">
        <f t="shared" si="28"/>
        <v>March</v>
      </c>
      <c r="V338" s="11">
        <f t="shared" si="29"/>
        <v>0</v>
      </c>
    </row>
    <row r="339" spans="1:22" x14ac:dyDescent="0.25">
      <c r="A339" s="3">
        <f>'Raw Data'!A339</f>
        <v>100338</v>
      </c>
      <c r="B339" s="4">
        <f>'Raw Data'!B339</f>
        <v>46112</v>
      </c>
      <c r="C339" s="3" t="str">
        <f>'Raw Data'!C339</f>
        <v>LG-01</v>
      </c>
      <c r="D339" s="3" t="str">
        <f>PROPER(TRIM('Raw Data'!D339))</f>
        <v>Lagos</v>
      </c>
      <c r="E339" s="3" t="str">
        <f>'Raw Data'!E339</f>
        <v>In-store</v>
      </c>
      <c r="F339" s="3" t="str">
        <f>IF(PROPER(TRIM('Raw Data'!F339))="Accessory","Accessories",PROPER(TRIM('Raw Data'!F339)))</f>
        <v>Home</v>
      </c>
      <c r="G339" s="3" t="str">
        <f>'Raw Data'!G339</f>
        <v>Electric Kettle</v>
      </c>
      <c r="H339" s="3" t="str">
        <f>'Raw Data'!H339</f>
        <v>C1069</v>
      </c>
      <c r="I339" s="3" t="str">
        <f>'Raw Data'!I339</f>
        <v>New</v>
      </c>
      <c r="J339" s="3">
        <f>'Raw Data'!J339</f>
        <v>2</v>
      </c>
      <c r="K339" s="5">
        <f>'Raw Data'!K339</f>
        <v>24000</v>
      </c>
      <c r="L339" s="6">
        <f>'Raw Data'!L339</f>
        <v>0.15</v>
      </c>
      <c r="M339" s="5">
        <f>'Raw Data'!M339</f>
        <v>40800</v>
      </c>
      <c r="N339" s="5">
        <f t="shared" si="25"/>
        <v>40800</v>
      </c>
      <c r="O339" s="5">
        <f>'Raw Data'!N339</f>
        <v>15000</v>
      </c>
      <c r="P339" s="5">
        <f>IF(ISBLANK('Raw Data'!N339),AVERAGEIFS('Raw Data'!$N$2:$N$433,'Raw Data'!$G$2:$G$433,G339),'Raw Data'!N339)</f>
        <v>15000</v>
      </c>
      <c r="Q339" s="5">
        <f t="shared" si="26"/>
        <v>30000</v>
      </c>
      <c r="R339" s="5">
        <f t="shared" si="27"/>
        <v>10800</v>
      </c>
      <c r="S339" s="3" t="str">
        <f>'Raw Data'!O339</f>
        <v>No</v>
      </c>
      <c r="T339" s="3" t="str">
        <f>'Raw Data'!P339</f>
        <v>Aisha</v>
      </c>
      <c r="U339" s="3" t="str">
        <f t="shared" si="28"/>
        <v>March</v>
      </c>
      <c r="V339" s="11">
        <f t="shared" si="29"/>
        <v>0</v>
      </c>
    </row>
    <row r="340" spans="1:22" x14ac:dyDescent="0.25">
      <c r="A340" s="3">
        <f>'Raw Data'!A340</f>
        <v>100339</v>
      </c>
      <c r="B340" s="4">
        <f>'Raw Data'!B340</f>
        <v>46057</v>
      </c>
      <c r="C340" s="3" t="str">
        <f>'Raw Data'!C340</f>
        <v>LG-01</v>
      </c>
      <c r="D340" s="3" t="str">
        <f>PROPER(TRIM('Raw Data'!D340))</f>
        <v>Lagos</v>
      </c>
      <c r="E340" s="3" t="str">
        <f>'Raw Data'!E340</f>
        <v>In-store</v>
      </c>
      <c r="F340" s="3" t="str">
        <f>IF(PROPER(TRIM('Raw Data'!F340))="Accessory","Accessories",PROPER(TRIM('Raw Data'!F340)))</f>
        <v>Electronics</v>
      </c>
      <c r="G340" s="3" t="str">
        <f>'Raw Data'!G340</f>
        <v>Power Bank</v>
      </c>
      <c r="H340" s="3" t="str">
        <f>'Raw Data'!H340</f>
        <v>C1025</v>
      </c>
      <c r="I340" s="3" t="str">
        <f>'Raw Data'!I340</f>
        <v>New</v>
      </c>
      <c r="J340" s="3">
        <f>'Raw Data'!J340</f>
        <v>2</v>
      </c>
      <c r="K340" s="5">
        <f>'Raw Data'!K340</f>
        <v>26000</v>
      </c>
      <c r="L340" s="6">
        <f>'Raw Data'!L340</f>
        <v>0.05</v>
      </c>
      <c r="M340" s="5">
        <f>'Raw Data'!M340</f>
        <v>49400</v>
      </c>
      <c r="N340" s="5">
        <f t="shared" si="25"/>
        <v>49400</v>
      </c>
      <c r="O340" s="5">
        <f>'Raw Data'!N340</f>
        <v>15000</v>
      </c>
      <c r="P340" s="5">
        <f>IF(ISBLANK('Raw Data'!N340),AVERAGEIFS('Raw Data'!$N$2:$N$433,'Raw Data'!$G$2:$G$433,G340),'Raw Data'!N340)</f>
        <v>15000</v>
      </c>
      <c r="Q340" s="5">
        <f t="shared" si="26"/>
        <v>30000</v>
      </c>
      <c r="R340" s="5">
        <f t="shared" si="27"/>
        <v>19400</v>
      </c>
      <c r="S340" s="3" t="str">
        <f>'Raw Data'!O340</f>
        <v>No</v>
      </c>
      <c r="T340" s="3" t="str">
        <f>'Raw Data'!P340</f>
        <v>Grace</v>
      </c>
      <c r="U340" s="3" t="str">
        <f t="shared" si="28"/>
        <v>February</v>
      </c>
      <c r="V340" s="11">
        <f t="shared" si="29"/>
        <v>0</v>
      </c>
    </row>
    <row r="341" spans="1:22" x14ac:dyDescent="0.25">
      <c r="A341" s="3">
        <f>'Raw Data'!A341</f>
        <v>100340</v>
      </c>
      <c r="B341" s="4">
        <f>'Raw Data'!B341</f>
        <v>46106</v>
      </c>
      <c r="C341" s="3" t="str">
        <f>'Raw Data'!C341</f>
        <v>AB-01</v>
      </c>
      <c r="D341" s="3" t="str">
        <f>PROPER(TRIM('Raw Data'!D341))</f>
        <v>Abuja</v>
      </c>
      <c r="E341" s="3" t="str">
        <f>'Raw Data'!E341</f>
        <v>Online</v>
      </c>
      <c r="F341" s="3" t="str">
        <f>IF(PROPER(TRIM('Raw Data'!F341))="Accessory","Accessories",PROPER(TRIM('Raw Data'!F341)))</f>
        <v>Electronics</v>
      </c>
      <c r="G341" s="3" t="str">
        <f>'Raw Data'!G341</f>
        <v>Smartphone</v>
      </c>
      <c r="H341" s="3" t="str">
        <f>'Raw Data'!H341</f>
        <v>C1028</v>
      </c>
      <c r="I341" s="3" t="str">
        <f>'Raw Data'!I341</f>
        <v>Returning</v>
      </c>
      <c r="J341" s="3">
        <f>'Raw Data'!J341</f>
        <v>1</v>
      </c>
      <c r="K341" s="5">
        <f>'Raw Data'!K341</f>
        <v>165000</v>
      </c>
      <c r="L341" s="6">
        <f>'Raw Data'!L341</f>
        <v>0.15</v>
      </c>
      <c r="M341" s="5">
        <f>'Raw Data'!M341</f>
        <v>140250</v>
      </c>
      <c r="N341" s="5">
        <f t="shared" si="25"/>
        <v>140250</v>
      </c>
      <c r="O341" s="5">
        <f>'Raw Data'!N341</f>
        <v>112000</v>
      </c>
      <c r="P341" s="5">
        <f>IF(ISBLANK('Raw Data'!N341),AVERAGEIFS('Raw Data'!$N$2:$N$433,'Raw Data'!$G$2:$G$433,G341),'Raw Data'!N341)</f>
        <v>112000</v>
      </c>
      <c r="Q341" s="5">
        <f t="shared" si="26"/>
        <v>112000</v>
      </c>
      <c r="R341" s="5">
        <f t="shared" si="27"/>
        <v>28250</v>
      </c>
      <c r="S341" s="3" t="str">
        <f>'Raw Data'!O341</f>
        <v>No</v>
      </c>
      <c r="T341" s="3" t="str">
        <f>'Raw Data'!P341</f>
        <v>Ibrahim</v>
      </c>
      <c r="U341" s="3" t="str">
        <f t="shared" si="28"/>
        <v>March</v>
      </c>
      <c r="V341" s="11">
        <f t="shared" si="29"/>
        <v>0</v>
      </c>
    </row>
    <row r="342" spans="1:22" x14ac:dyDescent="0.25">
      <c r="A342" s="3">
        <f>'Raw Data'!A342</f>
        <v>100341</v>
      </c>
      <c r="B342" s="4">
        <f>'Raw Data'!B342</f>
        <v>46181</v>
      </c>
      <c r="C342" s="3" t="str">
        <f>'Raw Data'!C342</f>
        <v>LG-01</v>
      </c>
      <c r="D342" s="3" t="str">
        <f>PROPER(TRIM('Raw Data'!D342))</f>
        <v>Lagos</v>
      </c>
      <c r="E342" s="3" t="str">
        <f>'Raw Data'!E342</f>
        <v>In-store</v>
      </c>
      <c r="F342" s="3" t="str">
        <f>IF(PROPER(TRIM('Raw Data'!F342))="Accessory","Accessories",PROPER(TRIM('Raw Data'!F342)))</f>
        <v>Electronics</v>
      </c>
      <c r="G342" s="3" t="str">
        <f>'Raw Data'!G342</f>
        <v>Smartphone</v>
      </c>
      <c r="H342" s="3" t="str">
        <f>'Raw Data'!H342</f>
        <v>C1171</v>
      </c>
      <c r="I342" s="3" t="str">
        <f>'Raw Data'!I342</f>
        <v>Returning</v>
      </c>
      <c r="J342" s="3">
        <f>'Raw Data'!J342</f>
        <v>3</v>
      </c>
      <c r="K342" s="5">
        <f>'Raw Data'!K342</f>
        <v>165000</v>
      </c>
      <c r="L342" s="6">
        <f>'Raw Data'!L342</f>
        <v>0</v>
      </c>
      <c r="M342" s="5">
        <f>'Raw Data'!M342</f>
        <v>495000</v>
      </c>
      <c r="N342" s="5">
        <f t="shared" si="25"/>
        <v>495000</v>
      </c>
      <c r="O342" s="5">
        <f>'Raw Data'!N342</f>
        <v>112000</v>
      </c>
      <c r="P342" s="5">
        <f>IF(ISBLANK('Raw Data'!N342),AVERAGEIFS('Raw Data'!$N$2:$N$433,'Raw Data'!$G$2:$G$433,G342),'Raw Data'!N342)</f>
        <v>112000</v>
      </c>
      <c r="Q342" s="5">
        <f t="shared" si="26"/>
        <v>336000</v>
      </c>
      <c r="R342" s="5">
        <f t="shared" si="27"/>
        <v>159000</v>
      </c>
      <c r="S342" s="3" t="str">
        <f>'Raw Data'!O342</f>
        <v>No</v>
      </c>
      <c r="T342" s="3" t="str">
        <f>'Raw Data'!P342</f>
        <v>Chinedu</v>
      </c>
      <c r="U342" s="3" t="str">
        <f t="shared" si="28"/>
        <v>June</v>
      </c>
      <c r="V342" s="11">
        <f t="shared" si="29"/>
        <v>0</v>
      </c>
    </row>
    <row r="343" spans="1:22" x14ac:dyDescent="0.25">
      <c r="A343" s="3">
        <f>'Raw Data'!A343</f>
        <v>100342</v>
      </c>
      <c r="B343" s="4">
        <f>'Raw Data'!B343</f>
        <v>46053</v>
      </c>
      <c r="C343" s="3" t="str">
        <f>'Raw Data'!C343</f>
        <v>AB-01</v>
      </c>
      <c r="D343" s="3" t="str">
        <f>PROPER(TRIM('Raw Data'!D343))</f>
        <v>Abuja</v>
      </c>
      <c r="E343" s="3" t="str">
        <f>'Raw Data'!E343</f>
        <v>In-store</v>
      </c>
      <c r="F343" s="3" t="str">
        <f>IF(PROPER(TRIM('Raw Data'!F343))="Accessory","Accessories",PROPER(TRIM('Raw Data'!F343)))</f>
        <v>Electronics</v>
      </c>
      <c r="G343" s="3" t="str">
        <f>'Raw Data'!G343</f>
        <v>Earbuds</v>
      </c>
      <c r="H343" s="3" t="str">
        <f>'Raw Data'!H343</f>
        <v>C1127</v>
      </c>
      <c r="I343" s="3" t="str">
        <f>'Raw Data'!I343</f>
        <v>Returning</v>
      </c>
      <c r="J343" s="3">
        <f>'Raw Data'!J343</f>
        <v>4</v>
      </c>
      <c r="K343" s="5">
        <f>'Raw Data'!K343</f>
        <v>32000</v>
      </c>
      <c r="L343" s="6">
        <f>'Raw Data'!L343</f>
        <v>0</v>
      </c>
      <c r="M343" s="5">
        <f>'Raw Data'!M343</f>
        <v>128000</v>
      </c>
      <c r="N343" s="5">
        <f t="shared" si="25"/>
        <v>128000</v>
      </c>
      <c r="O343" s="3">
        <f>'Raw Data'!N343</f>
        <v>0</v>
      </c>
      <c r="P343" s="5">
        <f>IF(ISBLANK('Raw Data'!N343),AVERAGEIFS('Raw Data'!$N$2:$N$433,'Raw Data'!$G$2:$G$433,G343),'Raw Data'!N343)</f>
        <v>19000</v>
      </c>
      <c r="Q343" s="5">
        <f t="shared" si="26"/>
        <v>76000</v>
      </c>
      <c r="R343" s="5">
        <f t="shared" si="27"/>
        <v>52000</v>
      </c>
      <c r="S343" s="3" t="str">
        <f>'Raw Data'!O343</f>
        <v>No</v>
      </c>
      <c r="T343" s="3" t="str">
        <f>'Raw Data'!P343</f>
        <v>Ibrahim</v>
      </c>
      <c r="U343" s="3" t="str">
        <f t="shared" si="28"/>
        <v>January</v>
      </c>
      <c r="V343" s="11">
        <f t="shared" si="29"/>
        <v>0</v>
      </c>
    </row>
    <row r="344" spans="1:22" x14ac:dyDescent="0.25">
      <c r="A344" s="3">
        <f>'Raw Data'!A344</f>
        <v>100343</v>
      </c>
      <c r="B344" s="4">
        <f>'Raw Data'!B344</f>
        <v>46217</v>
      </c>
      <c r="C344" s="3" t="str">
        <f>'Raw Data'!C344</f>
        <v>KN-01</v>
      </c>
      <c r="D344" s="3" t="str">
        <f>PROPER(TRIM('Raw Data'!D344))</f>
        <v>Kano</v>
      </c>
      <c r="E344" s="3" t="str">
        <f>'Raw Data'!E344</f>
        <v>In-store</v>
      </c>
      <c r="F344" s="3" t="str">
        <f>IF(PROPER(TRIM('Raw Data'!F344))="Accessory","Accessories",PROPER(TRIM('Raw Data'!F344)))</f>
        <v>Electronics</v>
      </c>
      <c r="G344" s="3" t="str">
        <f>'Raw Data'!G344</f>
        <v>Smartphone</v>
      </c>
      <c r="H344" s="3" t="str">
        <f>'Raw Data'!H344</f>
        <v>C1061</v>
      </c>
      <c r="I344" s="3" t="str">
        <f>'Raw Data'!I344</f>
        <v>Returning</v>
      </c>
      <c r="J344" s="3">
        <f>'Raw Data'!J344</f>
        <v>4</v>
      </c>
      <c r="K344" s="5">
        <f>'Raw Data'!K344</f>
        <v>165000</v>
      </c>
      <c r="L344" s="6">
        <f>'Raw Data'!L344</f>
        <v>0</v>
      </c>
      <c r="M344" s="5">
        <f>'Raw Data'!M344</f>
        <v>660000</v>
      </c>
      <c r="N344" s="5">
        <f t="shared" si="25"/>
        <v>660000</v>
      </c>
      <c r="O344" s="5">
        <f>'Raw Data'!N344</f>
        <v>112000</v>
      </c>
      <c r="P344" s="5">
        <f>IF(ISBLANK('Raw Data'!N344),AVERAGEIFS('Raw Data'!$N$2:$N$433,'Raw Data'!$G$2:$G$433,G344),'Raw Data'!N344)</f>
        <v>112000</v>
      </c>
      <c r="Q344" s="5">
        <f t="shared" si="26"/>
        <v>448000</v>
      </c>
      <c r="R344" s="5">
        <f t="shared" si="27"/>
        <v>212000</v>
      </c>
      <c r="S344" s="3" t="str">
        <f>'Raw Data'!O344</f>
        <v>Yes</v>
      </c>
      <c r="T344" s="3" t="str">
        <f>'Raw Data'!P344</f>
        <v>Fatima</v>
      </c>
      <c r="U344" s="3" t="str">
        <f t="shared" si="28"/>
        <v>July</v>
      </c>
      <c r="V344" s="11">
        <f t="shared" si="29"/>
        <v>1</v>
      </c>
    </row>
    <row r="345" spans="1:22" x14ac:dyDescent="0.25">
      <c r="A345" s="3">
        <f>'Raw Data'!A345</f>
        <v>100344</v>
      </c>
      <c r="B345" s="4">
        <f>'Raw Data'!B345</f>
        <v>46253</v>
      </c>
      <c r="C345" s="3" t="str">
        <f>'Raw Data'!C345</f>
        <v>IB-01</v>
      </c>
      <c r="D345" s="3" t="str">
        <f>PROPER(TRIM('Raw Data'!D345))</f>
        <v>Ibadan</v>
      </c>
      <c r="E345" s="3" t="str">
        <f>'Raw Data'!E345</f>
        <v>Online</v>
      </c>
      <c r="F345" s="3" t="str">
        <f>IF(PROPER(TRIM('Raw Data'!F345))="Accessory","Accessories",PROPER(TRIM('Raw Data'!F345)))</f>
        <v>Home</v>
      </c>
      <c r="G345" s="3" t="str">
        <f>'Raw Data'!G345</f>
        <v>Electric Kettle</v>
      </c>
      <c r="H345" s="3" t="str">
        <f>'Raw Data'!H345</f>
        <v>C1159</v>
      </c>
      <c r="I345" s="3" t="str">
        <f>'Raw Data'!I345</f>
        <v>New</v>
      </c>
      <c r="J345" s="3">
        <f>'Raw Data'!J345</f>
        <v>2</v>
      </c>
      <c r="K345" s="5">
        <f>'Raw Data'!K345</f>
        <v>24000</v>
      </c>
      <c r="L345" s="6">
        <f>'Raw Data'!L345</f>
        <v>0.1</v>
      </c>
      <c r="M345" s="5">
        <f>'Raw Data'!M345</f>
        <v>43200</v>
      </c>
      <c r="N345" s="5">
        <f t="shared" si="25"/>
        <v>43200</v>
      </c>
      <c r="O345" s="5">
        <f>'Raw Data'!N345</f>
        <v>15000</v>
      </c>
      <c r="P345" s="5">
        <f>IF(ISBLANK('Raw Data'!N345),AVERAGEIFS('Raw Data'!$N$2:$N$433,'Raw Data'!$G$2:$G$433,G345),'Raw Data'!N345)</f>
        <v>15000</v>
      </c>
      <c r="Q345" s="5">
        <f t="shared" si="26"/>
        <v>30000</v>
      </c>
      <c r="R345" s="5">
        <f t="shared" si="27"/>
        <v>13200</v>
      </c>
      <c r="S345" s="3" t="str">
        <f>'Raw Data'!O345</f>
        <v>No</v>
      </c>
      <c r="T345" s="3" t="str">
        <f>'Raw Data'!P345</f>
        <v>Bola</v>
      </c>
      <c r="U345" s="3" t="str">
        <f t="shared" si="28"/>
        <v>August</v>
      </c>
      <c r="V345" s="11">
        <f t="shared" si="29"/>
        <v>0</v>
      </c>
    </row>
    <row r="346" spans="1:22" x14ac:dyDescent="0.25">
      <c r="A346" s="3">
        <f>'Raw Data'!A346</f>
        <v>100345</v>
      </c>
      <c r="B346" s="4">
        <f>'Raw Data'!B346</f>
        <v>46038</v>
      </c>
      <c r="C346" s="3" t="str">
        <f>'Raw Data'!C346</f>
        <v>LG-01</v>
      </c>
      <c r="D346" s="3" t="str">
        <f>PROPER(TRIM('Raw Data'!D346))</f>
        <v>Lagos</v>
      </c>
      <c r="E346" s="3" t="str">
        <f>'Raw Data'!E346</f>
        <v>In-store</v>
      </c>
      <c r="F346" s="3" t="str">
        <f>IF(PROPER(TRIM('Raw Data'!F346))="Accessory","Accessories",PROPER(TRIM('Raw Data'!F346)))</f>
        <v>Home</v>
      </c>
      <c r="G346" s="3" t="str">
        <f>'Raw Data'!G346</f>
        <v>Standing Fan</v>
      </c>
      <c r="H346" s="3" t="str">
        <f>'Raw Data'!H346</f>
        <v>C1134</v>
      </c>
      <c r="I346" s="3" t="str">
        <f>'Raw Data'!I346</f>
        <v>Returning</v>
      </c>
      <c r="J346" s="3">
        <f>'Raw Data'!J346</f>
        <v>2</v>
      </c>
      <c r="K346" s="5">
        <f>'Raw Data'!K346</f>
        <v>58000</v>
      </c>
      <c r="L346" s="6">
        <f>'Raw Data'!L346</f>
        <v>0.15</v>
      </c>
      <c r="M346" s="5">
        <f>'Raw Data'!M346</f>
        <v>98600</v>
      </c>
      <c r="N346" s="5">
        <f t="shared" si="25"/>
        <v>98600</v>
      </c>
      <c r="O346" s="5">
        <f>'Raw Data'!N346</f>
        <v>39000</v>
      </c>
      <c r="P346" s="5">
        <f>IF(ISBLANK('Raw Data'!N346),AVERAGEIFS('Raw Data'!$N$2:$N$433,'Raw Data'!$G$2:$G$433,G346),'Raw Data'!N346)</f>
        <v>39000</v>
      </c>
      <c r="Q346" s="5">
        <f t="shared" si="26"/>
        <v>78000</v>
      </c>
      <c r="R346" s="5">
        <f t="shared" si="27"/>
        <v>20600</v>
      </c>
      <c r="S346" s="3" t="str">
        <f>'Raw Data'!O346</f>
        <v>No</v>
      </c>
      <c r="T346" s="3" t="str">
        <f>'Raw Data'!P346</f>
        <v>Chinedu</v>
      </c>
      <c r="U346" s="3" t="str">
        <f t="shared" si="28"/>
        <v>January</v>
      </c>
      <c r="V346" s="11">
        <f t="shared" si="29"/>
        <v>0</v>
      </c>
    </row>
    <row r="347" spans="1:22" x14ac:dyDescent="0.25">
      <c r="A347" s="3">
        <f>'Raw Data'!A347</f>
        <v>100346</v>
      </c>
      <c r="B347" s="4">
        <f>'Raw Data'!B347</f>
        <v>46065</v>
      </c>
      <c r="C347" s="3" t="str">
        <f>'Raw Data'!C347</f>
        <v>AB-01</v>
      </c>
      <c r="D347" s="3" t="str">
        <f>PROPER(TRIM('Raw Data'!D347))</f>
        <v>Abuja</v>
      </c>
      <c r="E347" s="3" t="str">
        <f>'Raw Data'!E347</f>
        <v>In-store</v>
      </c>
      <c r="F347" s="3" t="str">
        <f>IF(PROPER(TRIM('Raw Data'!F347))="Accessory","Accessories",PROPER(TRIM('Raw Data'!F347)))</f>
        <v>Accessories</v>
      </c>
      <c r="G347" s="3" t="str">
        <f>'Raw Data'!G347</f>
        <v>Phone Case</v>
      </c>
      <c r="H347" s="3" t="str">
        <f>'Raw Data'!H347</f>
        <v>C1049</v>
      </c>
      <c r="I347" s="3" t="str">
        <f>'Raw Data'!I347</f>
        <v>Returning</v>
      </c>
      <c r="J347" s="3">
        <f>'Raw Data'!J347</f>
        <v>2</v>
      </c>
      <c r="K347" s="5">
        <f>'Raw Data'!K347</f>
        <v>9000</v>
      </c>
      <c r="L347" s="6">
        <f>'Raw Data'!L347</f>
        <v>0.15</v>
      </c>
      <c r="M347" s="5">
        <f>'Raw Data'!M347</f>
        <v>15300</v>
      </c>
      <c r="N347" s="5">
        <f t="shared" si="25"/>
        <v>15300</v>
      </c>
      <c r="O347" s="5">
        <f>'Raw Data'!N347</f>
        <v>3500</v>
      </c>
      <c r="P347" s="5">
        <f>IF(ISBLANK('Raw Data'!N347),AVERAGEIFS('Raw Data'!$N$2:$N$433,'Raw Data'!$G$2:$G$433,G347),'Raw Data'!N347)</f>
        <v>3500</v>
      </c>
      <c r="Q347" s="5">
        <f t="shared" si="26"/>
        <v>7000</v>
      </c>
      <c r="R347" s="5">
        <f t="shared" si="27"/>
        <v>8300</v>
      </c>
      <c r="S347" s="3" t="str">
        <f>'Raw Data'!O347</f>
        <v>No</v>
      </c>
      <c r="T347" s="3" t="str">
        <f>'Raw Data'!P347</f>
        <v>Ibrahim</v>
      </c>
      <c r="U347" s="3" t="str">
        <f t="shared" si="28"/>
        <v>February</v>
      </c>
      <c r="V347" s="11">
        <f t="shared" si="29"/>
        <v>0</v>
      </c>
    </row>
    <row r="348" spans="1:22" x14ac:dyDescent="0.25">
      <c r="A348" s="3">
        <f>'Raw Data'!A348</f>
        <v>100347</v>
      </c>
      <c r="B348" s="4">
        <f>'Raw Data'!B348</f>
        <v>46074</v>
      </c>
      <c r="C348" s="3" t="str">
        <f>'Raw Data'!C348</f>
        <v>KN-01</v>
      </c>
      <c r="D348" s="3" t="str">
        <f>PROPER(TRIM('Raw Data'!D348))</f>
        <v>Kano</v>
      </c>
      <c r="E348" s="3" t="str">
        <f>'Raw Data'!E348</f>
        <v>In-store</v>
      </c>
      <c r="F348" s="3" t="str">
        <f>IF(PROPER(TRIM('Raw Data'!F348))="Accessory","Accessories",PROPER(TRIM('Raw Data'!F348)))</f>
        <v>Electronics</v>
      </c>
      <c r="G348" s="3" t="str">
        <f>'Raw Data'!G348</f>
        <v>Earbuds</v>
      </c>
      <c r="H348" s="3" t="str">
        <f>'Raw Data'!H348</f>
        <v>C1066</v>
      </c>
      <c r="I348" s="3" t="str">
        <f>'Raw Data'!I348</f>
        <v>Returning</v>
      </c>
      <c r="J348" s="3">
        <f>'Raw Data'!J348</f>
        <v>3</v>
      </c>
      <c r="K348" s="5">
        <f>'Raw Data'!K348</f>
        <v>32000</v>
      </c>
      <c r="L348" s="6">
        <f>'Raw Data'!L348</f>
        <v>0</v>
      </c>
      <c r="M348" s="5">
        <f>'Raw Data'!M348</f>
        <v>96000</v>
      </c>
      <c r="N348" s="5">
        <f t="shared" si="25"/>
        <v>96000</v>
      </c>
      <c r="O348" s="5">
        <f>'Raw Data'!N348</f>
        <v>19000</v>
      </c>
      <c r="P348" s="5">
        <f>IF(ISBLANK('Raw Data'!N348),AVERAGEIFS('Raw Data'!$N$2:$N$433,'Raw Data'!$G$2:$G$433,G348),'Raw Data'!N348)</f>
        <v>19000</v>
      </c>
      <c r="Q348" s="5">
        <f t="shared" si="26"/>
        <v>57000</v>
      </c>
      <c r="R348" s="5">
        <f t="shared" si="27"/>
        <v>39000</v>
      </c>
      <c r="S348" s="3" t="str">
        <f>'Raw Data'!O348</f>
        <v>No</v>
      </c>
      <c r="T348" s="3" t="str">
        <f>'Raw Data'!P348</f>
        <v>Chinedu</v>
      </c>
      <c r="U348" s="3" t="str">
        <f t="shared" si="28"/>
        <v>February</v>
      </c>
      <c r="V348" s="11">
        <f t="shared" si="29"/>
        <v>0</v>
      </c>
    </row>
    <row r="349" spans="1:22" x14ac:dyDescent="0.25">
      <c r="A349" s="3">
        <f>'Raw Data'!A349</f>
        <v>100348</v>
      </c>
      <c r="B349" s="4">
        <f>'Raw Data'!B349</f>
        <v>46225</v>
      </c>
      <c r="C349" s="3" t="str">
        <f>'Raw Data'!C349</f>
        <v>KN-01</v>
      </c>
      <c r="D349" s="3" t="str">
        <f>PROPER(TRIM('Raw Data'!D349))</f>
        <v>Kano</v>
      </c>
      <c r="E349" s="3" t="str">
        <f>'Raw Data'!E349</f>
        <v>In-store</v>
      </c>
      <c r="F349" s="3" t="str">
        <f>IF(PROPER(TRIM('Raw Data'!F349))="Accessory","Accessories",PROPER(TRIM('Raw Data'!F349)))</f>
        <v>Home</v>
      </c>
      <c r="G349" s="3" t="str">
        <f>'Raw Data'!G349</f>
        <v>Electric Kettle</v>
      </c>
      <c r="H349" s="3" t="str">
        <f>'Raw Data'!H349</f>
        <v>C1096</v>
      </c>
      <c r="I349" s="3" t="str">
        <f>'Raw Data'!I349</f>
        <v>Returning</v>
      </c>
      <c r="J349" s="3">
        <f>'Raw Data'!J349</f>
        <v>5</v>
      </c>
      <c r="K349" s="5">
        <f>'Raw Data'!K349</f>
        <v>24000</v>
      </c>
      <c r="L349" s="6">
        <f>'Raw Data'!L349</f>
        <v>0.05</v>
      </c>
      <c r="M349" s="5">
        <f>'Raw Data'!M349</f>
        <v>114000</v>
      </c>
      <c r="N349" s="5">
        <f t="shared" si="25"/>
        <v>114000</v>
      </c>
      <c r="O349" s="5">
        <f>'Raw Data'!N349</f>
        <v>15000</v>
      </c>
      <c r="P349" s="5">
        <f>IF(ISBLANK('Raw Data'!N349),AVERAGEIFS('Raw Data'!$N$2:$N$433,'Raw Data'!$G$2:$G$433,G349),'Raw Data'!N349)</f>
        <v>15000</v>
      </c>
      <c r="Q349" s="5">
        <f t="shared" si="26"/>
        <v>75000</v>
      </c>
      <c r="R349" s="5">
        <f t="shared" si="27"/>
        <v>39000</v>
      </c>
      <c r="S349" s="3" t="str">
        <f>'Raw Data'!O349</f>
        <v>No</v>
      </c>
      <c r="T349" s="3" t="str">
        <f>'Raw Data'!P349</f>
        <v>Chinedu</v>
      </c>
      <c r="U349" s="3" t="str">
        <f t="shared" si="28"/>
        <v>July</v>
      </c>
      <c r="V349" s="11">
        <f t="shared" si="29"/>
        <v>0</v>
      </c>
    </row>
    <row r="350" spans="1:22" x14ac:dyDescent="0.25">
      <c r="A350" s="3">
        <f>'Raw Data'!A350</f>
        <v>100349</v>
      </c>
      <c r="B350" s="4">
        <f>'Raw Data'!B350</f>
        <v>46141</v>
      </c>
      <c r="C350" s="3" t="str">
        <f>'Raw Data'!C350</f>
        <v>IB-01</v>
      </c>
      <c r="D350" s="3" t="str">
        <f>PROPER(TRIM('Raw Data'!D350))</f>
        <v>Ibadan</v>
      </c>
      <c r="E350" s="3" t="str">
        <f>'Raw Data'!E350</f>
        <v>In-store</v>
      </c>
      <c r="F350" s="3" t="str">
        <f>IF(PROPER(TRIM('Raw Data'!F350))="Accessory","Accessories",PROPER(TRIM('Raw Data'!F350)))</f>
        <v>Electronics</v>
      </c>
      <c r="G350" s="3" t="str">
        <f>'Raw Data'!G350</f>
        <v>Earbuds</v>
      </c>
      <c r="H350" s="3" t="str">
        <f>'Raw Data'!H350</f>
        <v>C1097</v>
      </c>
      <c r="I350" s="3" t="str">
        <f>'Raw Data'!I350</f>
        <v>Returning</v>
      </c>
      <c r="J350" s="3">
        <f>'Raw Data'!J350</f>
        <v>2</v>
      </c>
      <c r="K350" s="5">
        <f>'Raw Data'!K350</f>
        <v>32000</v>
      </c>
      <c r="L350" s="6">
        <f>'Raw Data'!L350</f>
        <v>0.15</v>
      </c>
      <c r="M350" s="5">
        <f>'Raw Data'!M350</f>
        <v>54400</v>
      </c>
      <c r="N350" s="5">
        <f t="shared" si="25"/>
        <v>54400</v>
      </c>
      <c r="O350" s="5">
        <f>'Raw Data'!N350</f>
        <v>19000</v>
      </c>
      <c r="P350" s="5">
        <f>IF(ISBLANK('Raw Data'!N350),AVERAGEIFS('Raw Data'!$N$2:$N$433,'Raw Data'!$G$2:$G$433,G350),'Raw Data'!N350)</f>
        <v>19000</v>
      </c>
      <c r="Q350" s="5">
        <f t="shared" si="26"/>
        <v>38000</v>
      </c>
      <c r="R350" s="5">
        <f t="shared" si="27"/>
        <v>16400</v>
      </c>
      <c r="S350" s="3" t="str">
        <f>'Raw Data'!O350</f>
        <v>No</v>
      </c>
      <c r="T350" s="3" t="str">
        <f>'Raw Data'!P350</f>
        <v>Aisha</v>
      </c>
      <c r="U350" s="3" t="str">
        <f t="shared" si="28"/>
        <v>April</v>
      </c>
      <c r="V350" s="11">
        <f t="shared" si="29"/>
        <v>0</v>
      </c>
    </row>
    <row r="351" spans="1:22" x14ac:dyDescent="0.25">
      <c r="A351" s="3">
        <f>'Raw Data'!A351</f>
        <v>100350</v>
      </c>
      <c r="B351" s="4">
        <f>'Raw Data'!B351</f>
        <v>46170</v>
      </c>
      <c r="C351" s="3" t="str">
        <f>'Raw Data'!C351</f>
        <v>LG-01</v>
      </c>
      <c r="D351" s="3" t="str">
        <f>PROPER(TRIM('Raw Data'!D351))</f>
        <v>Lagos</v>
      </c>
      <c r="E351" s="3" t="str">
        <f>'Raw Data'!E351</f>
        <v>In-store</v>
      </c>
      <c r="F351" s="3" t="str">
        <f>IF(PROPER(TRIM('Raw Data'!F351))="Accessory","Accessories",PROPER(TRIM('Raw Data'!F351)))</f>
        <v>Home</v>
      </c>
      <c r="G351" s="3" t="str">
        <f>'Raw Data'!G351</f>
        <v>Blender</v>
      </c>
      <c r="H351" s="3" t="str">
        <f>'Raw Data'!H351</f>
        <v>C1110</v>
      </c>
      <c r="I351" s="3" t="str">
        <f>'Raw Data'!I351</f>
        <v>New</v>
      </c>
      <c r="J351" s="3">
        <f>'Raw Data'!J351</f>
        <v>3</v>
      </c>
      <c r="K351" s="5">
        <f>'Raw Data'!K351</f>
        <v>42000</v>
      </c>
      <c r="L351" s="6">
        <f>'Raw Data'!L351</f>
        <v>0.15</v>
      </c>
      <c r="M351" s="5">
        <f>'Raw Data'!M351</f>
        <v>96390</v>
      </c>
      <c r="N351" s="5">
        <f t="shared" si="25"/>
        <v>107100</v>
      </c>
      <c r="O351" s="5">
        <f>'Raw Data'!N351</f>
        <v>28000</v>
      </c>
      <c r="P351" s="5">
        <f>IF(ISBLANK('Raw Data'!N351),AVERAGEIFS('Raw Data'!$N$2:$N$433,'Raw Data'!$G$2:$G$433,G351),'Raw Data'!N351)</f>
        <v>28000</v>
      </c>
      <c r="Q351" s="5">
        <f t="shared" si="26"/>
        <v>84000</v>
      </c>
      <c r="R351" s="5">
        <f t="shared" si="27"/>
        <v>23100</v>
      </c>
      <c r="S351" s="3" t="str">
        <f>'Raw Data'!O351</f>
        <v>No</v>
      </c>
      <c r="T351" s="3" t="str">
        <f>'Raw Data'!P351</f>
        <v>Fatima</v>
      </c>
      <c r="U351" s="3" t="str">
        <f t="shared" si="28"/>
        <v>May</v>
      </c>
      <c r="V351" s="11">
        <f t="shared" si="29"/>
        <v>0</v>
      </c>
    </row>
    <row r="352" spans="1:22" x14ac:dyDescent="0.25">
      <c r="A352" s="3">
        <f>'Raw Data'!A352</f>
        <v>100351</v>
      </c>
      <c r="B352" s="4">
        <f>'Raw Data'!B352</f>
        <v>46040</v>
      </c>
      <c r="C352" s="3" t="str">
        <f>'Raw Data'!C352</f>
        <v>KN-01</v>
      </c>
      <c r="D352" s="3" t="str">
        <f>PROPER(TRIM('Raw Data'!D352))</f>
        <v>Kano</v>
      </c>
      <c r="E352" s="3" t="str">
        <f>'Raw Data'!E352</f>
        <v>In-store</v>
      </c>
      <c r="F352" s="3" t="str">
        <f>IF(PROPER(TRIM('Raw Data'!F352))="Accessory","Accessories",PROPER(TRIM('Raw Data'!F352)))</f>
        <v>Electronics</v>
      </c>
      <c r="G352" s="3" t="str">
        <f>'Raw Data'!G352</f>
        <v>Earbuds</v>
      </c>
      <c r="H352" s="3" t="str">
        <f>'Raw Data'!H352</f>
        <v>C1029</v>
      </c>
      <c r="I352" s="3" t="str">
        <f>'Raw Data'!I352</f>
        <v>New</v>
      </c>
      <c r="J352" s="3">
        <f>'Raw Data'!J352</f>
        <v>2</v>
      </c>
      <c r="K352" s="5">
        <f>'Raw Data'!K352</f>
        <v>32000</v>
      </c>
      <c r="L352" s="6">
        <f>'Raw Data'!L352</f>
        <v>0.1</v>
      </c>
      <c r="M352" s="5">
        <f>'Raw Data'!M352</f>
        <v>57600</v>
      </c>
      <c r="N352" s="5">
        <f t="shared" si="25"/>
        <v>57600</v>
      </c>
      <c r="O352" s="5">
        <f>'Raw Data'!N352</f>
        <v>19000</v>
      </c>
      <c r="P352" s="5">
        <f>IF(ISBLANK('Raw Data'!N352),AVERAGEIFS('Raw Data'!$N$2:$N$433,'Raw Data'!$G$2:$G$433,G352),'Raw Data'!N352)</f>
        <v>19000</v>
      </c>
      <c r="Q352" s="5">
        <f t="shared" si="26"/>
        <v>38000</v>
      </c>
      <c r="R352" s="5">
        <f t="shared" si="27"/>
        <v>19600</v>
      </c>
      <c r="S352" s="3" t="str">
        <f>'Raw Data'!O352</f>
        <v>No</v>
      </c>
      <c r="T352" s="3" t="str">
        <f>'Raw Data'!P352</f>
        <v>Bola</v>
      </c>
      <c r="U352" s="3" t="str">
        <f t="shared" si="28"/>
        <v>January</v>
      </c>
      <c r="V352" s="11">
        <f t="shared" si="29"/>
        <v>0</v>
      </c>
    </row>
    <row r="353" spans="1:22" x14ac:dyDescent="0.25">
      <c r="A353" s="3">
        <f>'Raw Data'!A353</f>
        <v>100352</v>
      </c>
      <c r="B353" s="4">
        <f>'Raw Data'!B353</f>
        <v>46134</v>
      </c>
      <c r="C353" s="3" t="str">
        <f>'Raw Data'!C353</f>
        <v>LG-01</v>
      </c>
      <c r="D353" s="3" t="str">
        <f>PROPER(TRIM('Raw Data'!D353))</f>
        <v>Lagos</v>
      </c>
      <c r="E353" s="3" t="str">
        <f>'Raw Data'!E353</f>
        <v>Online</v>
      </c>
      <c r="F353" s="3" t="str">
        <f>IF(PROPER(TRIM('Raw Data'!F353))="Accessory","Accessories",PROPER(TRIM('Raw Data'!F353)))</f>
        <v>Electronics</v>
      </c>
      <c r="G353" s="3" t="str">
        <f>'Raw Data'!G353</f>
        <v>Earbuds</v>
      </c>
      <c r="H353" s="3" t="str">
        <f>'Raw Data'!H353</f>
        <v>C1071</v>
      </c>
      <c r="I353" s="3" t="str">
        <f>'Raw Data'!I353</f>
        <v>New</v>
      </c>
      <c r="J353" s="3">
        <f>'Raw Data'!J353</f>
        <v>2</v>
      </c>
      <c r="K353" s="5">
        <f>'Raw Data'!K353</f>
        <v>32000</v>
      </c>
      <c r="L353" s="6">
        <f>'Raw Data'!L353</f>
        <v>0.15</v>
      </c>
      <c r="M353" s="5">
        <f>'Raw Data'!M353</f>
        <v>54400</v>
      </c>
      <c r="N353" s="5">
        <f t="shared" si="25"/>
        <v>54400</v>
      </c>
      <c r="O353" s="5">
        <f>'Raw Data'!N353</f>
        <v>19000</v>
      </c>
      <c r="P353" s="5">
        <f>IF(ISBLANK('Raw Data'!N353),AVERAGEIFS('Raw Data'!$N$2:$N$433,'Raw Data'!$G$2:$G$433,G353),'Raw Data'!N353)</f>
        <v>19000</v>
      </c>
      <c r="Q353" s="5">
        <f t="shared" si="26"/>
        <v>38000</v>
      </c>
      <c r="R353" s="5">
        <f t="shared" si="27"/>
        <v>16400</v>
      </c>
      <c r="S353" s="3" t="str">
        <f>'Raw Data'!O353</f>
        <v>No</v>
      </c>
      <c r="T353" s="3" t="str">
        <f>'Raw Data'!P353</f>
        <v>Bola</v>
      </c>
      <c r="U353" s="3" t="str">
        <f t="shared" si="28"/>
        <v>April</v>
      </c>
      <c r="V353" s="11">
        <f t="shared" si="29"/>
        <v>0</v>
      </c>
    </row>
    <row r="354" spans="1:22" x14ac:dyDescent="0.25">
      <c r="A354" s="3">
        <f>'Raw Data'!A354</f>
        <v>100353</v>
      </c>
      <c r="B354" s="4">
        <f>'Raw Data'!B354</f>
        <v>46203</v>
      </c>
      <c r="C354" s="3" t="str">
        <f>'Raw Data'!C354</f>
        <v>AB-01</v>
      </c>
      <c r="D354" s="3" t="str">
        <f>PROPER(TRIM('Raw Data'!D354))</f>
        <v>Abuja</v>
      </c>
      <c r="E354" s="3" t="str">
        <f>'Raw Data'!E354</f>
        <v>Online</v>
      </c>
      <c r="F354" s="3" t="str">
        <f>IF(PROPER(TRIM('Raw Data'!F354))="Accessory","Accessories",PROPER(TRIM('Raw Data'!F354)))</f>
        <v>Accessories</v>
      </c>
      <c r="G354" s="3" t="str">
        <f>'Raw Data'!G354</f>
        <v>Backpack</v>
      </c>
      <c r="H354" s="3" t="str">
        <f>'Raw Data'!H354</f>
        <v>C1021</v>
      </c>
      <c r="I354" s="3" t="str">
        <f>'Raw Data'!I354</f>
        <v>New</v>
      </c>
      <c r="J354" s="3">
        <f>'Raw Data'!J354</f>
        <v>1</v>
      </c>
      <c r="K354" s="5">
        <f>'Raw Data'!K354</f>
        <v>28000</v>
      </c>
      <c r="L354" s="6">
        <f>'Raw Data'!L354</f>
        <v>0.15</v>
      </c>
      <c r="M354" s="5">
        <f>'Raw Data'!M354</f>
        <v>23800</v>
      </c>
      <c r="N354" s="5">
        <f t="shared" si="25"/>
        <v>23800</v>
      </c>
      <c r="O354" s="3">
        <f>'Raw Data'!N354</f>
        <v>0</v>
      </c>
      <c r="P354" s="5">
        <f>IF(ISBLANK('Raw Data'!N354),AVERAGEIFS('Raw Data'!$N$2:$N$433,'Raw Data'!$G$2:$G$433,G354),'Raw Data'!N354)</f>
        <v>16000</v>
      </c>
      <c r="Q354" s="5">
        <f t="shared" si="26"/>
        <v>16000</v>
      </c>
      <c r="R354" s="5">
        <f t="shared" si="27"/>
        <v>7800</v>
      </c>
      <c r="S354" s="3" t="str">
        <f>'Raw Data'!O354</f>
        <v>No</v>
      </c>
      <c r="T354" s="3" t="str">
        <f>'Raw Data'!P354</f>
        <v>Bola</v>
      </c>
      <c r="U354" s="3" t="str">
        <f t="shared" si="28"/>
        <v>June</v>
      </c>
      <c r="V354" s="11">
        <f t="shared" si="29"/>
        <v>0</v>
      </c>
    </row>
    <row r="355" spans="1:22" x14ac:dyDescent="0.25">
      <c r="A355" s="3">
        <f>'Raw Data'!A355</f>
        <v>100354</v>
      </c>
      <c r="B355" s="4">
        <f>'Raw Data'!B355</f>
        <v>46037</v>
      </c>
      <c r="C355" s="3" t="str">
        <f>'Raw Data'!C355</f>
        <v>IB-01</v>
      </c>
      <c r="D355" s="3" t="str">
        <f>PROPER(TRIM('Raw Data'!D355))</f>
        <v>Ibadan</v>
      </c>
      <c r="E355" s="3" t="str">
        <f>'Raw Data'!E355</f>
        <v>Online</v>
      </c>
      <c r="F355" s="3" t="str">
        <f>IF(PROPER(TRIM('Raw Data'!F355))="Accessory","Accessories",PROPER(TRIM('Raw Data'!F355)))</f>
        <v>Accessories</v>
      </c>
      <c r="G355" s="3" t="str">
        <f>'Raw Data'!G355</f>
        <v>Phone Case</v>
      </c>
      <c r="H355" s="3" t="str">
        <f>'Raw Data'!H355</f>
        <v>C1091</v>
      </c>
      <c r="I355" s="3" t="str">
        <f>'Raw Data'!I355</f>
        <v>Returning</v>
      </c>
      <c r="J355" s="3">
        <f>'Raw Data'!J355</f>
        <v>1</v>
      </c>
      <c r="K355" s="5">
        <f>'Raw Data'!K355</f>
        <v>9000</v>
      </c>
      <c r="L355" s="6">
        <f>'Raw Data'!L355</f>
        <v>0.15</v>
      </c>
      <c r="M355" s="5">
        <f>'Raw Data'!M355</f>
        <v>7650</v>
      </c>
      <c r="N355" s="5">
        <f t="shared" si="25"/>
        <v>7650</v>
      </c>
      <c r="O355" s="5">
        <f>'Raw Data'!N355</f>
        <v>3500</v>
      </c>
      <c r="P355" s="5">
        <f>IF(ISBLANK('Raw Data'!N355),AVERAGEIFS('Raw Data'!$N$2:$N$433,'Raw Data'!$G$2:$G$433,G355),'Raw Data'!N355)</f>
        <v>3500</v>
      </c>
      <c r="Q355" s="5">
        <f t="shared" si="26"/>
        <v>3500</v>
      </c>
      <c r="R355" s="5">
        <f t="shared" si="27"/>
        <v>4150</v>
      </c>
      <c r="S355" s="3" t="str">
        <f>'Raw Data'!O355</f>
        <v>No</v>
      </c>
      <c r="T355" s="3" t="str">
        <f>'Raw Data'!P355</f>
        <v>Fatima</v>
      </c>
      <c r="U355" s="3" t="str">
        <f t="shared" si="28"/>
        <v>January</v>
      </c>
      <c r="V355" s="11">
        <f t="shared" si="29"/>
        <v>0</v>
      </c>
    </row>
    <row r="356" spans="1:22" x14ac:dyDescent="0.25">
      <c r="A356" s="3">
        <f>'Raw Data'!A356</f>
        <v>100355</v>
      </c>
      <c r="B356" s="4">
        <f>'Raw Data'!B356</f>
        <v>46099</v>
      </c>
      <c r="C356" s="3" t="str">
        <f>'Raw Data'!C356</f>
        <v>LG-02</v>
      </c>
      <c r="D356" s="3" t="str">
        <f>PROPER(TRIM('Raw Data'!D356))</f>
        <v>Lagos</v>
      </c>
      <c r="E356" s="3" t="str">
        <f>'Raw Data'!E356</f>
        <v>Online</v>
      </c>
      <c r="F356" s="3" t="str">
        <f>IF(PROPER(TRIM('Raw Data'!F356))="Accessory","Accessories",PROPER(TRIM('Raw Data'!F356)))</f>
        <v>Home</v>
      </c>
      <c r="G356" s="3" t="str">
        <f>'Raw Data'!G356</f>
        <v>Blender</v>
      </c>
      <c r="H356" s="3" t="str">
        <f>'Raw Data'!H356</f>
        <v>C1077</v>
      </c>
      <c r="I356" s="3" t="str">
        <f>'Raw Data'!I356</f>
        <v>Returning</v>
      </c>
      <c r="J356" s="3">
        <f>'Raw Data'!J356</f>
        <v>18</v>
      </c>
      <c r="K356" s="5">
        <f>'Raw Data'!K356</f>
        <v>42000</v>
      </c>
      <c r="L356" s="6">
        <f>'Raw Data'!L356</f>
        <v>0.1</v>
      </c>
      <c r="M356" s="5">
        <f>'Raw Data'!M356</f>
        <v>680400</v>
      </c>
      <c r="N356" s="5">
        <f t="shared" si="25"/>
        <v>680400</v>
      </c>
      <c r="O356" s="5">
        <f>'Raw Data'!N356</f>
        <v>28000</v>
      </c>
      <c r="P356" s="5">
        <f>IF(ISBLANK('Raw Data'!N356),AVERAGEIFS('Raw Data'!$N$2:$N$433,'Raw Data'!$G$2:$G$433,G356),'Raw Data'!N356)</f>
        <v>28000</v>
      </c>
      <c r="Q356" s="5">
        <f t="shared" si="26"/>
        <v>504000</v>
      </c>
      <c r="R356" s="5">
        <f t="shared" si="27"/>
        <v>176400</v>
      </c>
      <c r="S356" s="3" t="str">
        <f>'Raw Data'!O356</f>
        <v>No</v>
      </c>
      <c r="T356" s="3" t="str">
        <f>'Raw Data'!P356</f>
        <v>Kemi</v>
      </c>
      <c r="U356" s="3" t="str">
        <f t="shared" si="28"/>
        <v>March</v>
      </c>
      <c r="V356" s="11">
        <f t="shared" si="29"/>
        <v>0</v>
      </c>
    </row>
    <row r="357" spans="1:22" x14ac:dyDescent="0.25">
      <c r="A357" s="3">
        <f>'Raw Data'!A357</f>
        <v>100356</v>
      </c>
      <c r="B357" s="4">
        <f>'Raw Data'!B357</f>
        <v>46116</v>
      </c>
      <c r="C357" s="3" t="str">
        <f>'Raw Data'!C357</f>
        <v>IB-01</v>
      </c>
      <c r="D357" s="3" t="str">
        <f>PROPER(TRIM('Raw Data'!D357))</f>
        <v>Ibadan</v>
      </c>
      <c r="E357" s="3" t="str">
        <f>'Raw Data'!E357</f>
        <v>Online</v>
      </c>
      <c r="F357" s="3" t="str">
        <f>IF(PROPER(TRIM('Raw Data'!F357))="Accessory","Accessories",PROPER(TRIM('Raw Data'!F357)))</f>
        <v>Home</v>
      </c>
      <c r="G357" s="3" t="str">
        <f>'Raw Data'!G357</f>
        <v>Standing Fan</v>
      </c>
      <c r="H357" s="3" t="str">
        <f>'Raw Data'!H357</f>
        <v>C1178</v>
      </c>
      <c r="I357" s="3" t="str">
        <f>'Raw Data'!I357</f>
        <v>Returning</v>
      </c>
      <c r="J357" s="3">
        <f>'Raw Data'!J357</f>
        <v>4</v>
      </c>
      <c r="K357" s="5">
        <f>'Raw Data'!K357</f>
        <v>58000</v>
      </c>
      <c r="L357" s="6">
        <f>'Raw Data'!L357</f>
        <v>0</v>
      </c>
      <c r="M357" s="5">
        <f>'Raw Data'!M357</f>
        <v>232000</v>
      </c>
      <c r="N357" s="5">
        <f t="shared" si="25"/>
        <v>232000</v>
      </c>
      <c r="O357" s="5">
        <f>'Raw Data'!N357</f>
        <v>39000</v>
      </c>
      <c r="P357" s="5">
        <f>IF(ISBLANK('Raw Data'!N357),AVERAGEIFS('Raw Data'!$N$2:$N$433,'Raw Data'!$G$2:$G$433,G357),'Raw Data'!N357)</f>
        <v>39000</v>
      </c>
      <c r="Q357" s="5">
        <f t="shared" si="26"/>
        <v>156000</v>
      </c>
      <c r="R357" s="5">
        <f t="shared" si="27"/>
        <v>76000</v>
      </c>
      <c r="S357" s="3" t="str">
        <f>'Raw Data'!O357</f>
        <v>No</v>
      </c>
      <c r="T357" s="3" t="str">
        <f>'Raw Data'!P357</f>
        <v>Bola</v>
      </c>
      <c r="U357" s="3" t="str">
        <f t="shared" si="28"/>
        <v>April</v>
      </c>
      <c r="V357" s="11">
        <f t="shared" si="29"/>
        <v>0</v>
      </c>
    </row>
    <row r="358" spans="1:22" x14ac:dyDescent="0.25">
      <c r="A358" s="3">
        <f>'Raw Data'!A358</f>
        <v>100357</v>
      </c>
      <c r="B358" s="4">
        <f>'Raw Data'!B358</f>
        <v>46226</v>
      </c>
      <c r="C358" s="3" t="str">
        <f>'Raw Data'!C358</f>
        <v>AB-02</v>
      </c>
      <c r="D358" s="3" t="str">
        <f>PROPER(TRIM('Raw Data'!D358))</f>
        <v>Abuja</v>
      </c>
      <c r="E358" s="3" t="str">
        <f>'Raw Data'!E358</f>
        <v>In-store</v>
      </c>
      <c r="F358" s="3" t="str">
        <f>IF(PROPER(TRIM('Raw Data'!F358))="Accessory","Accessories",PROPER(TRIM('Raw Data'!F358)))</f>
        <v>Electronics</v>
      </c>
      <c r="G358" s="3" t="str">
        <f>'Raw Data'!G358</f>
        <v>Power Bank</v>
      </c>
      <c r="H358" s="3" t="str">
        <f>'Raw Data'!H358</f>
        <v>C1049</v>
      </c>
      <c r="I358" s="3" t="str">
        <f>'Raw Data'!I358</f>
        <v>Returning</v>
      </c>
      <c r="J358" s="3">
        <f>'Raw Data'!J358</f>
        <v>1</v>
      </c>
      <c r="K358" s="5">
        <f>'Raw Data'!K358</f>
        <v>26000</v>
      </c>
      <c r="L358" s="6">
        <f>'Raw Data'!L358</f>
        <v>0.2</v>
      </c>
      <c r="M358" s="5">
        <f>'Raw Data'!M358</f>
        <v>20800</v>
      </c>
      <c r="N358" s="5">
        <f t="shared" si="25"/>
        <v>20800</v>
      </c>
      <c r="O358" s="3">
        <f>'Raw Data'!N358</f>
        <v>0</v>
      </c>
      <c r="P358" s="5">
        <f>IF(ISBLANK('Raw Data'!N358),AVERAGEIFS('Raw Data'!$N$2:$N$433,'Raw Data'!$G$2:$G$433,G358),'Raw Data'!N358)</f>
        <v>15000</v>
      </c>
      <c r="Q358" s="5">
        <f t="shared" si="26"/>
        <v>15000</v>
      </c>
      <c r="R358" s="5">
        <f t="shared" si="27"/>
        <v>5800</v>
      </c>
      <c r="S358" s="3" t="str">
        <f>'Raw Data'!O358</f>
        <v>No</v>
      </c>
      <c r="T358" s="3" t="str">
        <f>'Raw Data'!P358</f>
        <v>David</v>
      </c>
      <c r="U358" s="3" t="str">
        <f t="shared" si="28"/>
        <v>July</v>
      </c>
      <c r="V358" s="11">
        <f t="shared" si="29"/>
        <v>0</v>
      </c>
    </row>
    <row r="359" spans="1:22" x14ac:dyDescent="0.25">
      <c r="A359" s="3">
        <f>'Raw Data'!A359</f>
        <v>100358</v>
      </c>
      <c r="B359" s="4">
        <f>'Raw Data'!B359</f>
        <v>46151</v>
      </c>
      <c r="C359" s="3" t="str">
        <f>'Raw Data'!C359</f>
        <v>AB-02</v>
      </c>
      <c r="D359" s="3" t="str">
        <f>PROPER(TRIM('Raw Data'!D359))</f>
        <v>Abuja</v>
      </c>
      <c r="E359" s="3" t="str">
        <f>'Raw Data'!E359</f>
        <v>Online</v>
      </c>
      <c r="F359" s="3" t="str">
        <f>IF(PROPER(TRIM('Raw Data'!F359))="Accessory","Accessories",PROPER(TRIM('Raw Data'!F359)))</f>
        <v>Electronics</v>
      </c>
      <c r="G359" s="3" t="str">
        <f>'Raw Data'!G359</f>
        <v>Power Bank</v>
      </c>
      <c r="H359" s="3" t="str">
        <f>'Raw Data'!H359</f>
        <v>C1000</v>
      </c>
      <c r="I359" s="3" t="str">
        <f>'Raw Data'!I359</f>
        <v>Returning</v>
      </c>
      <c r="J359" s="3">
        <f>'Raw Data'!J359</f>
        <v>2</v>
      </c>
      <c r="K359" s="5">
        <f>'Raw Data'!K359</f>
        <v>26000</v>
      </c>
      <c r="L359" s="6">
        <f>'Raw Data'!L359</f>
        <v>0.1</v>
      </c>
      <c r="M359" s="5">
        <f>'Raw Data'!M359</f>
        <v>46800</v>
      </c>
      <c r="N359" s="5">
        <f t="shared" si="25"/>
        <v>46800</v>
      </c>
      <c r="O359" s="5">
        <f>'Raw Data'!N359</f>
        <v>15000</v>
      </c>
      <c r="P359" s="5">
        <f>IF(ISBLANK('Raw Data'!N359),AVERAGEIFS('Raw Data'!$N$2:$N$433,'Raw Data'!$G$2:$G$433,G359),'Raw Data'!N359)</f>
        <v>15000</v>
      </c>
      <c r="Q359" s="5">
        <f t="shared" si="26"/>
        <v>30000</v>
      </c>
      <c r="R359" s="5">
        <f t="shared" si="27"/>
        <v>16800</v>
      </c>
      <c r="S359" s="3" t="str">
        <f>'Raw Data'!O359</f>
        <v>Yes</v>
      </c>
      <c r="T359" s="3" t="str">
        <f>'Raw Data'!P359</f>
        <v>Bola</v>
      </c>
      <c r="U359" s="3" t="str">
        <f t="shared" si="28"/>
        <v>May</v>
      </c>
      <c r="V359" s="11">
        <f t="shared" si="29"/>
        <v>1</v>
      </c>
    </row>
    <row r="360" spans="1:22" x14ac:dyDescent="0.25">
      <c r="A360" s="3">
        <f>'Raw Data'!A360</f>
        <v>100359</v>
      </c>
      <c r="B360" s="4">
        <f>'Raw Data'!B360</f>
        <v>46246</v>
      </c>
      <c r="C360" s="3" t="str">
        <f>'Raw Data'!C360</f>
        <v>AB-02</v>
      </c>
      <c r="D360" s="3" t="str">
        <f>PROPER(TRIM('Raw Data'!D360))</f>
        <v>Abuja</v>
      </c>
      <c r="E360" s="3" t="str">
        <f>'Raw Data'!E360</f>
        <v>Online</v>
      </c>
      <c r="F360" s="3" t="str">
        <f>IF(PROPER(TRIM('Raw Data'!F360))="Accessory","Accessories",PROPER(TRIM('Raw Data'!F360)))</f>
        <v>Accessories</v>
      </c>
      <c r="G360" s="3" t="str">
        <f>'Raw Data'!G360</f>
        <v>Backpack</v>
      </c>
      <c r="H360" s="3" t="str">
        <f>'Raw Data'!H360</f>
        <v>C1185</v>
      </c>
      <c r="I360" s="3" t="str">
        <f>'Raw Data'!I360</f>
        <v>New</v>
      </c>
      <c r="J360" s="3">
        <f>'Raw Data'!J360</f>
        <v>1</v>
      </c>
      <c r="K360" s="5">
        <f>'Raw Data'!K360</f>
        <v>28000</v>
      </c>
      <c r="L360" s="6">
        <f>'Raw Data'!L360</f>
        <v>0</v>
      </c>
      <c r="M360" s="5">
        <f>'Raw Data'!M360</f>
        <v>28000</v>
      </c>
      <c r="N360" s="5">
        <f t="shared" si="25"/>
        <v>28000</v>
      </c>
      <c r="O360" s="3">
        <f>'Raw Data'!N360</f>
        <v>0</v>
      </c>
      <c r="P360" s="5">
        <f>IF(ISBLANK('Raw Data'!N360),AVERAGEIFS('Raw Data'!$N$2:$N$433,'Raw Data'!$G$2:$G$433,G360),'Raw Data'!N360)</f>
        <v>16000</v>
      </c>
      <c r="Q360" s="5">
        <f t="shared" si="26"/>
        <v>16000</v>
      </c>
      <c r="R360" s="5">
        <f t="shared" si="27"/>
        <v>12000</v>
      </c>
      <c r="S360" s="3" t="str">
        <f>'Raw Data'!O360</f>
        <v>No</v>
      </c>
      <c r="T360" s="3" t="str">
        <f>'Raw Data'!P360</f>
        <v>Fatima</v>
      </c>
      <c r="U360" s="3" t="str">
        <f t="shared" si="28"/>
        <v>August</v>
      </c>
      <c r="V360" s="11">
        <f t="shared" si="29"/>
        <v>0</v>
      </c>
    </row>
    <row r="361" spans="1:22" x14ac:dyDescent="0.25">
      <c r="A361" s="3">
        <f>'Raw Data'!A361</f>
        <v>100360</v>
      </c>
      <c r="B361" s="4">
        <f>'Raw Data'!B361</f>
        <v>46204</v>
      </c>
      <c r="C361" s="3" t="str">
        <f>'Raw Data'!C361</f>
        <v>KN-01</v>
      </c>
      <c r="D361" s="3" t="str">
        <f>PROPER(TRIM('Raw Data'!D361))</f>
        <v>Kano</v>
      </c>
      <c r="E361" s="3" t="str">
        <f>'Raw Data'!E361</f>
        <v>Online</v>
      </c>
      <c r="F361" s="3" t="str">
        <f>IF(PROPER(TRIM('Raw Data'!F361))="Accessory","Accessories",PROPER(TRIM('Raw Data'!F361)))</f>
        <v>Home</v>
      </c>
      <c r="G361" s="3" t="str">
        <f>'Raw Data'!G361</f>
        <v>Blender</v>
      </c>
      <c r="H361" s="3" t="str">
        <f>'Raw Data'!H361</f>
        <v>C1008</v>
      </c>
      <c r="I361" s="3" t="str">
        <f>'Raw Data'!I361</f>
        <v>Returning</v>
      </c>
      <c r="J361" s="3">
        <f>'Raw Data'!J361</f>
        <v>1</v>
      </c>
      <c r="K361" s="5">
        <f>'Raw Data'!K361</f>
        <v>42000</v>
      </c>
      <c r="L361" s="6">
        <f>'Raw Data'!L361</f>
        <v>0.15</v>
      </c>
      <c r="M361" s="5">
        <f>'Raw Data'!M361</f>
        <v>35700</v>
      </c>
      <c r="N361" s="5">
        <f t="shared" si="25"/>
        <v>35700</v>
      </c>
      <c r="O361" s="5">
        <f>'Raw Data'!N361</f>
        <v>28000</v>
      </c>
      <c r="P361" s="5">
        <f>IF(ISBLANK('Raw Data'!N361),AVERAGEIFS('Raw Data'!$N$2:$N$433,'Raw Data'!$G$2:$G$433,G361),'Raw Data'!N361)</f>
        <v>28000</v>
      </c>
      <c r="Q361" s="5">
        <f t="shared" si="26"/>
        <v>28000</v>
      </c>
      <c r="R361" s="5">
        <f t="shared" si="27"/>
        <v>7700</v>
      </c>
      <c r="S361" s="3" t="str">
        <f>'Raw Data'!O361</f>
        <v>No</v>
      </c>
      <c r="T361" s="3" t="str">
        <f>'Raw Data'!P361</f>
        <v>Kemi</v>
      </c>
      <c r="U361" s="3" t="str">
        <f t="shared" si="28"/>
        <v>July</v>
      </c>
      <c r="V361" s="11">
        <f t="shared" si="29"/>
        <v>0</v>
      </c>
    </row>
    <row r="362" spans="1:22" x14ac:dyDescent="0.25">
      <c r="A362" s="3">
        <f>'Raw Data'!A362</f>
        <v>100361</v>
      </c>
      <c r="B362" s="4">
        <f>'Raw Data'!B362</f>
        <v>46028</v>
      </c>
      <c r="C362" s="3" t="str">
        <f>'Raw Data'!C362</f>
        <v>IB-01</v>
      </c>
      <c r="D362" s="3" t="str">
        <f>PROPER(TRIM('Raw Data'!D362))</f>
        <v>Ibadan</v>
      </c>
      <c r="E362" s="3" t="str">
        <f>'Raw Data'!E362</f>
        <v>Online</v>
      </c>
      <c r="F362" s="3" t="str">
        <f>IF(PROPER(TRIM('Raw Data'!F362))="Accessory","Accessories",PROPER(TRIM('Raw Data'!F362)))</f>
        <v>Accessories</v>
      </c>
      <c r="G362" s="3" t="str">
        <f>'Raw Data'!G362</f>
        <v>USB Cable</v>
      </c>
      <c r="H362" s="3" t="str">
        <f>'Raw Data'!H362</f>
        <v>C1151</v>
      </c>
      <c r="I362" s="3" t="str">
        <f>'Raw Data'!I362</f>
        <v>New</v>
      </c>
      <c r="J362" s="3">
        <f>'Raw Data'!J362</f>
        <v>2</v>
      </c>
      <c r="K362" s="5">
        <f>'Raw Data'!K362</f>
        <v>6500</v>
      </c>
      <c r="L362" s="6">
        <f>'Raw Data'!L362</f>
        <v>0.05</v>
      </c>
      <c r="M362" s="5">
        <f>'Raw Data'!M362</f>
        <v>12350</v>
      </c>
      <c r="N362" s="5">
        <f t="shared" si="25"/>
        <v>12350</v>
      </c>
      <c r="O362" s="5">
        <f>'Raw Data'!N362</f>
        <v>2200</v>
      </c>
      <c r="P362" s="5">
        <f>IF(ISBLANK('Raw Data'!N362),AVERAGEIFS('Raw Data'!$N$2:$N$433,'Raw Data'!$G$2:$G$433,G362),'Raw Data'!N362)</f>
        <v>2200</v>
      </c>
      <c r="Q362" s="5">
        <f t="shared" si="26"/>
        <v>4400</v>
      </c>
      <c r="R362" s="5">
        <f t="shared" si="27"/>
        <v>7950</v>
      </c>
      <c r="S362" s="3" t="str">
        <f>'Raw Data'!O362</f>
        <v>No</v>
      </c>
      <c r="T362" s="3" t="str">
        <f>'Raw Data'!P362</f>
        <v>Aisha</v>
      </c>
      <c r="U362" s="3" t="str">
        <f t="shared" si="28"/>
        <v>January</v>
      </c>
      <c r="V362" s="11">
        <f t="shared" si="29"/>
        <v>0</v>
      </c>
    </row>
    <row r="363" spans="1:22" x14ac:dyDescent="0.25">
      <c r="A363" s="3">
        <f>'Raw Data'!A363</f>
        <v>100362</v>
      </c>
      <c r="B363" s="4">
        <f>'Raw Data'!B363</f>
        <v>46105</v>
      </c>
      <c r="C363" s="3" t="str">
        <f>'Raw Data'!C363</f>
        <v>LG-02</v>
      </c>
      <c r="D363" s="3" t="str">
        <f>PROPER(TRIM('Raw Data'!D363))</f>
        <v>Lagos</v>
      </c>
      <c r="E363" s="3" t="str">
        <f>'Raw Data'!E363</f>
        <v>Online</v>
      </c>
      <c r="F363" s="3" t="str">
        <f>IF(PROPER(TRIM('Raw Data'!F363))="Accessory","Accessories",PROPER(TRIM('Raw Data'!F363)))</f>
        <v>Accessories</v>
      </c>
      <c r="G363" s="3" t="str">
        <f>'Raw Data'!G363</f>
        <v>Phone Case</v>
      </c>
      <c r="H363" s="3" t="str">
        <f>'Raw Data'!H363</f>
        <v>C1132</v>
      </c>
      <c r="I363" s="3" t="str">
        <f>'Raw Data'!I363</f>
        <v>New</v>
      </c>
      <c r="J363" s="3">
        <f>'Raw Data'!J363</f>
        <v>4</v>
      </c>
      <c r="K363" s="5">
        <f>'Raw Data'!K363</f>
        <v>9000</v>
      </c>
      <c r="L363" s="6">
        <f>'Raw Data'!L363</f>
        <v>0.15</v>
      </c>
      <c r="M363" s="5">
        <f>'Raw Data'!M363</f>
        <v>30600</v>
      </c>
      <c r="N363" s="5">
        <f t="shared" si="25"/>
        <v>30600</v>
      </c>
      <c r="O363" s="5">
        <f>'Raw Data'!N363</f>
        <v>3500</v>
      </c>
      <c r="P363" s="5">
        <f>IF(ISBLANK('Raw Data'!N363),AVERAGEIFS('Raw Data'!$N$2:$N$433,'Raw Data'!$G$2:$G$433,G363),'Raw Data'!N363)</f>
        <v>3500</v>
      </c>
      <c r="Q363" s="5">
        <f t="shared" si="26"/>
        <v>14000</v>
      </c>
      <c r="R363" s="5">
        <f t="shared" si="27"/>
        <v>16600</v>
      </c>
      <c r="S363" s="3" t="str">
        <f>'Raw Data'!O363</f>
        <v>No</v>
      </c>
      <c r="T363" s="3" t="str">
        <f>'Raw Data'!P363</f>
        <v>Ibrahim</v>
      </c>
      <c r="U363" s="3" t="str">
        <f t="shared" si="28"/>
        <v>March</v>
      </c>
      <c r="V363" s="11">
        <f t="shared" si="29"/>
        <v>0</v>
      </c>
    </row>
    <row r="364" spans="1:22" x14ac:dyDescent="0.25">
      <c r="A364" s="3">
        <f>'Raw Data'!A364</f>
        <v>100363</v>
      </c>
      <c r="B364" s="4">
        <f>'Raw Data'!B364</f>
        <v>46193</v>
      </c>
      <c r="C364" s="3" t="str">
        <f>'Raw Data'!C364</f>
        <v>IB-01</v>
      </c>
      <c r="D364" s="3" t="str">
        <f>PROPER(TRIM('Raw Data'!D364))</f>
        <v>Ibadan</v>
      </c>
      <c r="E364" s="3" t="str">
        <f>'Raw Data'!E364</f>
        <v>In-store</v>
      </c>
      <c r="F364" s="3" t="str">
        <f>IF(PROPER(TRIM('Raw Data'!F364))="Accessory","Accessories",PROPER(TRIM('Raw Data'!F364)))</f>
        <v>Home</v>
      </c>
      <c r="G364" s="3" t="str">
        <f>'Raw Data'!G364</f>
        <v>Electric Kettle</v>
      </c>
      <c r="H364" s="3" t="str">
        <f>'Raw Data'!H364</f>
        <v>C1190</v>
      </c>
      <c r="I364" s="3" t="str">
        <f>'Raw Data'!I364</f>
        <v>Returning</v>
      </c>
      <c r="J364" s="3">
        <f>'Raw Data'!J364</f>
        <v>2</v>
      </c>
      <c r="K364" s="5">
        <f>'Raw Data'!K364</f>
        <v>24000</v>
      </c>
      <c r="L364" s="6">
        <f>'Raw Data'!L364</f>
        <v>0.1</v>
      </c>
      <c r="M364" s="5">
        <f>'Raw Data'!M364</f>
        <v>43200</v>
      </c>
      <c r="N364" s="5">
        <f t="shared" si="25"/>
        <v>43200</v>
      </c>
      <c r="O364" s="5">
        <f>'Raw Data'!N364</f>
        <v>15000</v>
      </c>
      <c r="P364" s="5">
        <f>IF(ISBLANK('Raw Data'!N364),AVERAGEIFS('Raw Data'!$N$2:$N$433,'Raw Data'!$G$2:$G$433,G364),'Raw Data'!N364)</f>
        <v>15000</v>
      </c>
      <c r="Q364" s="5">
        <f t="shared" si="26"/>
        <v>30000</v>
      </c>
      <c r="R364" s="5">
        <f t="shared" si="27"/>
        <v>13200</v>
      </c>
      <c r="S364" s="3" t="str">
        <f>'Raw Data'!O364</f>
        <v>No</v>
      </c>
      <c r="T364" s="3" t="str">
        <f>'Raw Data'!P364</f>
        <v>Ibrahim</v>
      </c>
      <c r="U364" s="3" t="str">
        <f t="shared" si="28"/>
        <v>June</v>
      </c>
      <c r="V364" s="11">
        <f t="shared" si="29"/>
        <v>0</v>
      </c>
    </row>
    <row r="365" spans="1:22" x14ac:dyDescent="0.25">
      <c r="A365" s="3">
        <f>'Raw Data'!A365</f>
        <v>100364</v>
      </c>
      <c r="B365" s="4">
        <f>'Raw Data'!B365</f>
        <v>46226</v>
      </c>
      <c r="C365" s="3" t="str">
        <f>'Raw Data'!C365</f>
        <v>AB-01</v>
      </c>
      <c r="D365" s="3" t="str">
        <f>PROPER(TRIM('Raw Data'!D365))</f>
        <v>Abuja</v>
      </c>
      <c r="E365" s="3" t="str">
        <f>'Raw Data'!E365</f>
        <v>In-store</v>
      </c>
      <c r="F365" s="3" t="str">
        <f>IF(PROPER(TRIM('Raw Data'!F365))="Accessory","Accessories",PROPER(TRIM('Raw Data'!F365)))</f>
        <v>Home</v>
      </c>
      <c r="G365" s="3" t="str">
        <f>'Raw Data'!G365</f>
        <v>Electric Kettle</v>
      </c>
      <c r="H365" s="3" t="str">
        <f>'Raw Data'!H365</f>
        <v>C1015</v>
      </c>
      <c r="I365" s="3" t="str">
        <f>'Raw Data'!I365</f>
        <v>Returning</v>
      </c>
      <c r="J365" s="3">
        <f>'Raw Data'!J365</f>
        <v>2</v>
      </c>
      <c r="K365" s="5">
        <f>'Raw Data'!K365</f>
        <v>24000</v>
      </c>
      <c r="L365" s="6">
        <f>'Raw Data'!L365</f>
        <v>0.25</v>
      </c>
      <c r="M365" s="5">
        <f>'Raw Data'!M365</f>
        <v>36000</v>
      </c>
      <c r="N365" s="5">
        <f t="shared" si="25"/>
        <v>36000</v>
      </c>
      <c r="O365" s="5">
        <f>'Raw Data'!N365</f>
        <v>15000</v>
      </c>
      <c r="P365" s="5">
        <f>IF(ISBLANK('Raw Data'!N365),AVERAGEIFS('Raw Data'!$N$2:$N$433,'Raw Data'!$G$2:$G$433,G365),'Raw Data'!N365)</f>
        <v>15000</v>
      </c>
      <c r="Q365" s="5">
        <f t="shared" si="26"/>
        <v>30000</v>
      </c>
      <c r="R365" s="5">
        <f t="shared" si="27"/>
        <v>6000</v>
      </c>
      <c r="S365" s="3" t="str">
        <f>'Raw Data'!O365</f>
        <v>Yes</v>
      </c>
      <c r="T365" s="3" t="str">
        <f>'Raw Data'!P365</f>
        <v>Fatima</v>
      </c>
      <c r="U365" s="3" t="str">
        <f t="shared" si="28"/>
        <v>July</v>
      </c>
      <c r="V365" s="11">
        <f t="shared" si="29"/>
        <v>1</v>
      </c>
    </row>
    <row r="366" spans="1:22" x14ac:dyDescent="0.25">
      <c r="A366" s="3">
        <f>'Raw Data'!A366</f>
        <v>100365</v>
      </c>
      <c r="B366" s="4">
        <f>'Raw Data'!B366</f>
        <v>46195</v>
      </c>
      <c r="C366" s="3" t="str">
        <f>'Raw Data'!C366</f>
        <v>IB-01</v>
      </c>
      <c r="D366" s="3" t="str">
        <f>PROPER(TRIM('Raw Data'!D366))</f>
        <v>Ibadan</v>
      </c>
      <c r="E366" s="3" t="str">
        <f>'Raw Data'!E366</f>
        <v>WhatsApp</v>
      </c>
      <c r="F366" s="3" t="str">
        <f>IF(PROPER(TRIM('Raw Data'!F366))="Accessory","Accessories",PROPER(TRIM('Raw Data'!F366)))</f>
        <v>Electronics</v>
      </c>
      <c r="G366" s="3" t="str">
        <f>'Raw Data'!G366</f>
        <v>Smartphone</v>
      </c>
      <c r="H366" s="3" t="str">
        <f>'Raw Data'!H366</f>
        <v>C1169</v>
      </c>
      <c r="I366" s="3" t="str">
        <f>'Raw Data'!I366</f>
        <v>Returning</v>
      </c>
      <c r="J366" s="3">
        <f>'Raw Data'!J366</f>
        <v>4</v>
      </c>
      <c r="K366" s="5">
        <f>'Raw Data'!K366</f>
        <v>165000</v>
      </c>
      <c r="L366" s="6">
        <f>'Raw Data'!L366</f>
        <v>0.05</v>
      </c>
      <c r="M366" s="5">
        <f>'Raw Data'!M366</f>
        <v>627000</v>
      </c>
      <c r="N366" s="5">
        <f t="shared" si="25"/>
        <v>627000</v>
      </c>
      <c r="O366" s="5">
        <f>'Raw Data'!N366</f>
        <v>112000</v>
      </c>
      <c r="P366" s="5">
        <f>IF(ISBLANK('Raw Data'!N366),AVERAGEIFS('Raw Data'!$N$2:$N$433,'Raw Data'!$G$2:$G$433,G366),'Raw Data'!N366)</f>
        <v>112000</v>
      </c>
      <c r="Q366" s="5">
        <f t="shared" si="26"/>
        <v>448000</v>
      </c>
      <c r="R366" s="5">
        <f t="shared" si="27"/>
        <v>179000</v>
      </c>
      <c r="S366" s="3" t="str">
        <f>'Raw Data'!O366</f>
        <v>No</v>
      </c>
      <c r="T366" s="3" t="str">
        <f>'Raw Data'!P366</f>
        <v>Chinedu</v>
      </c>
      <c r="U366" s="3" t="str">
        <f t="shared" si="28"/>
        <v>June</v>
      </c>
      <c r="V366" s="11">
        <f t="shared" si="29"/>
        <v>0</v>
      </c>
    </row>
    <row r="367" spans="1:22" x14ac:dyDescent="0.25">
      <c r="A367" s="3">
        <f>'Raw Data'!A367</f>
        <v>100366</v>
      </c>
      <c r="B367" s="4">
        <f>'Raw Data'!B367</f>
        <v>46222</v>
      </c>
      <c r="C367" s="3" t="str">
        <f>'Raw Data'!C367</f>
        <v>AB-01</v>
      </c>
      <c r="D367" s="3" t="str">
        <f>PROPER(TRIM('Raw Data'!D367))</f>
        <v>Abuja</v>
      </c>
      <c r="E367" s="3" t="str">
        <f>'Raw Data'!E367</f>
        <v>WhatsApp</v>
      </c>
      <c r="F367" s="3" t="str">
        <f>IF(PROPER(TRIM('Raw Data'!F367))="Accessory","Accessories",PROPER(TRIM('Raw Data'!F367)))</f>
        <v>Home</v>
      </c>
      <c r="G367" s="3" t="str">
        <f>'Raw Data'!G367</f>
        <v>Electric Kettle</v>
      </c>
      <c r="H367" s="3" t="str">
        <f>'Raw Data'!H367</f>
        <v>C1027</v>
      </c>
      <c r="I367" s="3" t="str">
        <f>'Raw Data'!I367</f>
        <v>Returning</v>
      </c>
      <c r="J367" s="3">
        <f>'Raw Data'!J367</f>
        <v>1</v>
      </c>
      <c r="K367" s="5">
        <f>'Raw Data'!K367</f>
        <v>24000</v>
      </c>
      <c r="L367" s="6">
        <f>'Raw Data'!L367</f>
        <v>0.25</v>
      </c>
      <c r="M367" s="5">
        <f>'Raw Data'!M367</f>
        <v>18000</v>
      </c>
      <c r="N367" s="5">
        <f t="shared" si="25"/>
        <v>18000</v>
      </c>
      <c r="O367" s="5">
        <f>'Raw Data'!N367</f>
        <v>15000</v>
      </c>
      <c r="P367" s="5">
        <f>IF(ISBLANK('Raw Data'!N367),AVERAGEIFS('Raw Data'!$N$2:$N$433,'Raw Data'!$G$2:$G$433,G367),'Raw Data'!N367)</f>
        <v>15000</v>
      </c>
      <c r="Q367" s="5">
        <f t="shared" si="26"/>
        <v>15000</v>
      </c>
      <c r="R367" s="5">
        <f t="shared" si="27"/>
        <v>3000</v>
      </c>
      <c r="S367" s="3" t="str">
        <f>'Raw Data'!O367</f>
        <v>Yes</v>
      </c>
      <c r="T367" s="3" t="str">
        <f>'Raw Data'!P367</f>
        <v>Bola</v>
      </c>
      <c r="U367" s="3" t="str">
        <f t="shared" si="28"/>
        <v>July</v>
      </c>
      <c r="V367" s="11">
        <f t="shared" si="29"/>
        <v>1</v>
      </c>
    </row>
    <row r="368" spans="1:22" x14ac:dyDescent="0.25">
      <c r="A368" s="3">
        <f>'Raw Data'!A368</f>
        <v>100367</v>
      </c>
      <c r="B368" s="4">
        <f>'Raw Data'!B368</f>
        <v>46225</v>
      </c>
      <c r="C368" s="3" t="str">
        <f>'Raw Data'!C368</f>
        <v>KN-01</v>
      </c>
      <c r="D368" s="3" t="str">
        <f>PROPER(TRIM('Raw Data'!D368))</f>
        <v>Kano</v>
      </c>
      <c r="E368" s="3" t="str">
        <f>'Raw Data'!E368</f>
        <v>In-store</v>
      </c>
      <c r="F368" s="3" t="str">
        <f>IF(PROPER(TRIM('Raw Data'!F368))="Accessory","Accessories",PROPER(TRIM('Raw Data'!F368)))</f>
        <v>Accessories</v>
      </c>
      <c r="G368" s="3" t="str">
        <f>'Raw Data'!G368</f>
        <v>Phone Case</v>
      </c>
      <c r="H368" s="3" t="str">
        <f>'Raw Data'!H368</f>
        <v>C1187</v>
      </c>
      <c r="I368" s="3" t="str">
        <f>'Raw Data'!I368</f>
        <v>Returning</v>
      </c>
      <c r="J368" s="3">
        <f>'Raw Data'!J368</f>
        <v>2</v>
      </c>
      <c r="K368" s="5">
        <f>'Raw Data'!K368</f>
        <v>9000</v>
      </c>
      <c r="L368" s="6">
        <f>'Raw Data'!L368</f>
        <v>0</v>
      </c>
      <c r="M368" s="5">
        <f>'Raw Data'!M368</f>
        <v>18000</v>
      </c>
      <c r="N368" s="5">
        <f t="shared" si="25"/>
        <v>18000</v>
      </c>
      <c r="O368" s="5">
        <f>'Raw Data'!N368</f>
        <v>3500</v>
      </c>
      <c r="P368" s="5">
        <f>IF(ISBLANK('Raw Data'!N368),AVERAGEIFS('Raw Data'!$N$2:$N$433,'Raw Data'!$G$2:$G$433,G368),'Raw Data'!N368)</f>
        <v>3500</v>
      </c>
      <c r="Q368" s="5">
        <f t="shared" si="26"/>
        <v>7000</v>
      </c>
      <c r="R368" s="5">
        <f t="shared" si="27"/>
        <v>11000</v>
      </c>
      <c r="S368" s="3" t="str">
        <f>'Raw Data'!O368</f>
        <v>No</v>
      </c>
      <c r="T368" s="3" t="str">
        <f>'Raw Data'!P368</f>
        <v>Kemi</v>
      </c>
      <c r="U368" s="3" t="str">
        <f t="shared" si="28"/>
        <v>July</v>
      </c>
      <c r="V368" s="11">
        <f t="shared" si="29"/>
        <v>0</v>
      </c>
    </row>
    <row r="369" spans="1:22" x14ac:dyDescent="0.25">
      <c r="A369" s="3">
        <f>'Raw Data'!A369</f>
        <v>100368</v>
      </c>
      <c r="B369" s="4">
        <f>'Raw Data'!B369</f>
        <v>46216</v>
      </c>
      <c r="C369" s="3" t="str">
        <f>'Raw Data'!C369</f>
        <v>LG-02</v>
      </c>
      <c r="D369" s="3" t="str">
        <f>PROPER(TRIM('Raw Data'!D369))</f>
        <v>Lagos</v>
      </c>
      <c r="E369" s="3" t="str">
        <f>'Raw Data'!E369</f>
        <v>In-store</v>
      </c>
      <c r="F369" s="3" t="str">
        <f>IF(PROPER(TRIM('Raw Data'!F369))="Accessory","Accessories",PROPER(TRIM('Raw Data'!F369)))</f>
        <v>Accessories</v>
      </c>
      <c r="G369" s="3" t="str">
        <f>'Raw Data'!G369</f>
        <v>USB Cable</v>
      </c>
      <c r="H369" s="3" t="str">
        <f>'Raw Data'!H369</f>
        <v>C1102</v>
      </c>
      <c r="I369" s="3" t="str">
        <f>'Raw Data'!I369</f>
        <v>Returning</v>
      </c>
      <c r="J369" s="3">
        <f>'Raw Data'!J369</f>
        <v>4</v>
      </c>
      <c r="K369" s="5">
        <f>'Raw Data'!K369</f>
        <v>6500</v>
      </c>
      <c r="L369" s="6">
        <f>'Raw Data'!L369</f>
        <v>0.05</v>
      </c>
      <c r="M369" s="5">
        <f>'Raw Data'!M369</f>
        <v>24700</v>
      </c>
      <c r="N369" s="5">
        <f t="shared" si="25"/>
        <v>24700</v>
      </c>
      <c r="O369" s="5">
        <f>'Raw Data'!N369</f>
        <v>2200</v>
      </c>
      <c r="P369" s="5">
        <f>IF(ISBLANK('Raw Data'!N369),AVERAGEIFS('Raw Data'!$N$2:$N$433,'Raw Data'!$G$2:$G$433,G369),'Raw Data'!N369)</f>
        <v>2200</v>
      </c>
      <c r="Q369" s="5">
        <f t="shared" si="26"/>
        <v>8800</v>
      </c>
      <c r="R369" s="5">
        <f t="shared" si="27"/>
        <v>15900</v>
      </c>
      <c r="S369" s="3" t="str">
        <f>'Raw Data'!O369</f>
        <v>No</v>
      </c>
      <c r="T369" s="3" t="str">
        <f>'Raw Data'!P369</f>
        <v>Bola</v>
      </c>
      <c r="U369" s="3" t="str">
        <f t="shared" si="28"/>
        <v>July</v>
      </c>
      <c r="V369" s="11">
        <f t="shared" si="29"/>
        <v>0</v>
      </c>
    </row>
    <row r="370" spans="1:22" x14ac:dyDescent="0.25">
      <c r="A370" s="3">
        <f>'Raw Data'!A370</f>
        <v>100369</v>
      </c>
      <c r="B370" s="4">
        <f>'Raw Data'!B370</f>
        <v>46193</v>
      </c>
      <c r="C370" s="3" t="str">
        <f>'Raw Data'!C370</f>
        <v>KN-01</v>
      </c>
      <c r="D370" s="3" t="str">
        <f>PROPER(TRIM('Raw Data'!D370))</f>
        <v>Kano</v>
      </c>
      <c r="E370" s="3" t="str">
        <f>'Raw Data'!E370</f>
        <v>WhatsApp</v>
      </c>
      <c r="F370" s="3" t="str">
        <f>IF(PROPER(TRIM('Raw Data'!F370))="Accessory","Accessories",PROPER(TRIM('Raw Data'!F370)))</f>
        <v>Electronics</v>
      </c>
      <c r="G370" s="3" t="str">
        <f>'Raw Data'!G370</f>
        <v>Power Bank</v>
      </c>
      <c r="H370" s="3" t="str">
        <f>'Raw Data'!H370</f>
        <v>C1102</v>
      </c>
      <c r="I370" s="3" t="str">
        <f>'Raw Data'!I370</f>
        <v>Returning</v>
      </c>
      <c r="J370" s="3">
        <f>'Raw Data'!J370</f>
        <v>2</v>
      </c>
      <c r="K370" s="5">
        <f>'Raw Data'!K370</f>
        <v>26000</v>
      </c>
      <c r="L370" s="6">
        <f>'Raw Data'!L370</f>
        <v>0.05</v>
      </c>
      <c r="M370" s="5">
        <f>'Raw Data'!M370</f>
        <v>59280</v>
      </c>
      <c r="N370" s="5">
        <f t="shared" si="25"/>
        <v>49400</v>
      </c>
      <c r="O370" s="5">
        <f>'Raw Data'!N370</f>
        <v>15000</v>
      </c>
      <c r="P370" s="5">
        <f>IF(ISBLANK('Raw Data'!N370),AVERAGEIFS('Raw Data'!$N$2:$N$433,'Raw Data'!$G$2:$G$433,G370),'Raw Data'!N370)</f>
        <v>15000</v>
      </c>
      <c r="Q370" s="5">
        <f t="shared" si="26"/>
        <v>30000</v>
      </c>
      <c r="R370" s="5">
        <f t="shared" si="27"/>
        <v>19400</v>
      </c>
      <c r="S370" s="3" t="str">
        <f>'Raw Data'!O370</f>
        <v>No</v>
      </c>
      <c r="T370" s="3" t="str">
        <f>'Raw Data'!P370</f>
        <v>Bola</v>
      </c>
      <c r="U370" s="3" t="str">
        <f t="shared" si="28"/>
        <v>June</v>
      </c>
      <c r="V370" s="11">
        <f t="shared" si="29"/>
        <v>0</v>
      </c>
    </row>
    <row r="371" spans="1:22" x14ac:dyDescent="0.25">
      <c r="A371" s="3">
        <f>'Raw Data'!A371</f>
        <v>100370</v>
      </c>
      <c r="B371" s="4">
        <f>'Raw Data'!B371</f>
        <v>46185</v>
      </c>
      <c r="C371" s="3" t="str">
        <f>'Raw Data'!C371</f>
        <v>LG-01</v>
      </c>
      <c r="D371" s="3" t="str">
        <f>PROPER(TRIM('Raw Data'!D371))</f>
        <v>Lagos</v>
      </c>
      <c r="E371" s="3" t="str">
        <f>'Raw Data'!E371</f>
        <v>WhatsApp</v>
      </c>
      <c r="F371" s="3" t="str">
        <f>IF(PROPER(TRIM('Raw Data'!F371))="Accessory","Accessories",PROPER(TRIM('Raw Data'!F371)))</f>
        <v>Home</v>
      </c>
      <c r="G371" s="3" t="str">
        <f>'Raw Data'!G371</f>
        <v>Standing Fan</v>
      </c>
      <c r="H371" s="3" t="str">
        <f>'Raw Data'!H371</f>
        <v>C1002</v>
      </c>
      <c r="I371" s="3" t="str">
        <f>'Raw Data'!I371</f>
        <v>Returning</v>
      </c>
      <c r="J371" s="3">
        <f>'Raw Data'!J371</f>
        <v>1</v>
      </c>
      <c r="K371" s="5">
        <f>'Raw Data'!K371</f>
        <v>58000</v>
      </c>
      <c r="L371" s="6">
        <f>'Raw Data'!L371</f>
        <v>0.1</v>
      </c>
      <c r="M371" s="5">
        <f>'Raw Data'!M371</f>
        <v>52200</v>
      </c>
      <c r="N371" s="5">
        <f t="shared" si="25"/>
        <v>52200</v>
      </c>
      <c r="O371" s="5">
        <f>'Raw Data'!N371</f>
        <v>39000</v>
      </c>
      <c r="P371" s="5">
        <f>IF(ISBLANK('Raw Data'!N371),AVERAGEIFS('Raw Data'!$N$2:$N$433,'Raw Data'!$G$2:$G$433,G371),'Raw Data'!N371)</f>
        <v>39000</v>
      </c>
      <c r="Q371" s="5">
        <f t="shared" si="26"/>
        <v>39000</v>
      </c>
      <c r="R371" s="5">
        <f t="shared" si="27"/>
        <v>13200</v>
      </c>
      <c r="S371" s="3" t="str">
        <f>'Raw Data'!O371</f>
        <v>No</v>
      </c>
      <c r="T371" s="3" t="str">
        <f>'Raw Data'!P371</f>
        <v>Grace</v>
      </c>
      <c r="U371" s="3" t="str">
        <f t="shared" si="28"/>
        <v>June</v>
      </c>
      <c r="V371" s="11">
        <f t="shared" si="29"/>
        <v>0</v>
      </c>
    </row>
    <row r="372" spans="1:22" x14ac:dyDescent="0.25">
      <c r="A372" s="3">
        <f>'Raw Data'!A372</f>
        <v>100371</v>
      </c>
      <c r="B372" s="4">
        <f>'Raw Data'!B372</f>
        <v>46131</v>
      </c>
      <c r="C372" s="3" t="str">
        <f>'Raw Data'!C372</f>
        <v>IB-01</v>
      </c>
      <c r="D372" s="3" t="str">
        <f>PROPER(TRIM('Raw Data'!D372))</f>
        <v>Ibadan</v>
      </c>
      <c r="E372" s="3" t="str">
        <f>'Raw Data'!E372</f>
        <v>In-store</v>
      </c>
      <c r="F372" s="3" t="str">
        <f>IF(PROPER(TRIM('Raw Data'!F372))="Accessory","Accessories",PROPER(TRIM('Raw Data'!F372)))</f>
        <v>Home</v>
      </c>
      <c r="G372" s="3" t="str">
        <f>'Raw Data'!G372</f>
        <v>Standing Fan</v>
      </c>
      <c r="H372" s="3" t="str">
        <f>'Raw Data'!H372</f>
        <v>C1170</v>
      </c>
      <c r="I372" s="3" t="str">
        <f>'Raw Data'!I372</f>
        <v>New</v>
      </c>
      <c r="J372" s="3">
        <f>'Raw Data'!J372</f>
        <v>3</v>
      </c>
      <c r="K372" s="5">
        <f>'Raw Data'!K372</f>
        <v>58000</v>
      </c>
      <c r="L372" s="6">
        <f>'Raw Data'!L372</f>
        <v>0.1</v>
      </c>
      <c r="M372" s="5">
        <f>'Raw Data'!M372</f>
        <v>156600</v>
      </c>
      <c r="N372" s="5">
        <f t="shared" si="25"/>
        <v>156600</v>
      </c>
      <c r="O372" s="5">
        <f>'Raw Data'!N372</f>
        <v>39000</v>
      </c>
      <c r="P372" s="5">
        <f>IF(ISBLANK('Raw Data'!N372),AVERAGEIFS('Raw Data'!$N$2:$N$433,'Raw Data'!$G$2:$G$433,G372),'Raw Data'!N372)</f>
        <v>39000</v>
      </c>
      <c r="Q372" s="5">
        <f t="shared" si="26"/>
        <v>117000</v>
      </c>
      <c r="R372" s="5">
        <f t="shared" si="27"/>
        <v>39600</v>
      </c>
      <c r="S372" s="3" t="str">
        <f>'Raw Data'!O372</f>
        <v>No</v>
      </c>
      <c r="T372" s="3" t="str">
        <f>'Raw Data'!P372</f>
        <v>Grace</v>
      </c>
      <c r="U372" s="3" t="str">
        <f t="shared" si="28"/>
        <v>April</v>
      </c>
      <c r="V372" s="11">
        <f t="shared" si="29"/>
        <v>0</v>
      </c>
    </row>
    <row r="373" spans="1:22" x14ac:dyDescent="0.25">
      <c r="A373" s="3">
        <f>'Raw Data'!A373</f>
        <v>100372</v>
      </c>
      <c r="B373" s="4">
        <f>'Raw Data'!B373</f>
        <v>46234</v>
      </c>
      <c r="C373" s="3" t="str">
        <f>'Raw Data'!C373</f>
        <v>AB-01</v>
      </c>
      <c r="D373" s="3" t="str">
        <f>PROPER(TRIM('Raw Data'!D373))</f>
        <v>Abuja</v>
      </c>
      <c r="E373" s="3" t="str">
        <f>'Raw Data'!E373</f>
        <v>In-store</v>
      </c>
      <c r="F373" s="3" t="str">
        <f>IF(PROPER(TRIM('Raw Data'!F373))="Accessory","Accessories",PROPER(TRIM('Raw Data'!F373)))</f>
        <v>Home</v>
      </c>
      <c r="G373" s="3" t="str">
        <f>'Raw Data'!G373</f>
        <v>Electric Kettle</v>
      </c>
      <c r="H373" s="3" t="str">
        <f>'Raw Data'!H373</f>
        <v>C1124</v>
      </c>
      <c r="I373" s="3" t="str">
        <f>'Raw Data'!I373</f>
        <v>Returning</v>
      </c>
      <c r="J373" s="3">
        <f>'Raw Data'!J373</f>
        <v>1</v>
      </c>
      <c r="K373" s="5">
        <f>'Raw Data'!K373</f>
        <v>24000</v>
      </c>
      <c r="L373" s="6">
        <f>'Raw Data'!L373</f>
        <v>0</v>
      </c>
      <c r="M373" s="5">
        <f>'Raw Data'!M373</f>
        <v>24000</v>
      </c>
      <c r="N373" s="5">
        <f t="shared" si="25"/>
        <v>24000</v>
      </c>
      <c r="O373" s="5">
        <f>'Raw Data'!N373</f>
        <v>15000</v>
      </c>
      <c r="P373" s="5">
        <f>IF(ISBLANK('Raw Data'!N373),AVERAGEIFS('Raw Data'!$N$2:$N$433,'Raw Data'!$G$2:$G$433,G373),'Raw Data'!N373)</f>
        <v>15000</v>
      </c>
      <c r="Q373" s="5">
        <f t="shared" si="26"/>
        <v>15000</v>
      </c>
      <c r="R373" s="5">
        <f t="shared" si="27"/>
        <v>9000</v>
      </c>
      <c r="S373" s="3" t="str">
        <f>'Raw Data'!O373</f>
        <v>No</v>
      </c>
      <c r="T373" s="3" t="str">
        <f>'Raw Data'!P373</f>
        <v>Grace</v>
      </c>
      <c r="U373" s="3" t="str">
        <f t="shared" si="28"/>
        <v>July</v>
      </c>
      <c r="V373" s="11">
        <f t="shared" si="29"/>
        <v>0</v>
      </c>
    </row>
    <row r="374" spans="1:22" x14ac:dyDescent="0.25">
      <c r="A374" s="3">
        <f>'Raw Data'!A374</f>
        <v>100373</v>
      </c>
      <c r="B374" s="4">
        <f>'Raw Data'!B374</f>
        <v>46075</v>
      </c>
      <c r="C374" s="3" t="str">
        <f>'Raw Data'!C374</f>
        <v>AB-01</v>
      </c>
      <c r="D374" s="3" t="str">
        <f>PROPER(TRIM('Raw Data'!D374))</f>
        <v>Abuja</v>
      </c>
      <c r="E374" s="3" t="str">
        <f>'Raw Data'!E374</f>
        <v>In-store</v>
      </c>
      <c r="F374" s="3" t="str">
        <f>IF(PROPER(TRIM('Raw Data'!F374))="Accessory","Accessories",PROPER(TRIM('Raw Data'!F374)))</f>
        <v>Home</v>
      </c>
      <c r="G374" s="3" t="str">
        <f>'Raw Data'!G374</f>
        <v>Standing Fan</v>
      </c>
      <c r="H374" s="3" t="str">
        <f>'Raw Data'!H374</f>
        <v>C1025</v>
      </c>
      <c r="I374" s="3" t="str">
        <f>'Raw Data'!I374</f>
        <v>New</v>
      </c>
      <c r="J374" s="3">
        <f>'Raw Data'!J374</f>
        <v>2</v>
      </c>
      <c r="K374" s="5">
        <f>'Raw Data'!K374</f>
        <v>58000</v>
      </c>
      <c r="L374" s="6">
        <f>'Raw Data'!L374</f>
        <v>0.2</v>
      </c>
      <c r="M374" s="5">
        <f>'Raw Data'!M374</f>
        <v>92800</v>
      </c>
      <c r="N374" s="5">
        <f t="shared" si="25"/>
        <v>92800</v>
      </c>
      <c r="O374" s="5">
        <f>'Raw Data'!N374</f>
        <v>39000</v>
      </c>
      <c r="P374" s="5">
        <f>IF(ISBLANK('Raw Data'!N374),AVERAGEIFS('Raw Data'!$N$2:$N$433,'Raw Data'!$G$2:$G$433,G374),'Raw Data'!N374)</f>
        <v>39000</v>
      </c>
      <c r="Q374" s="5">
        <f t="shared" si="26"/>
        <v>78000</v>
      </c>
      <c r="R374" s="5">
        <f t="shared" si="27"/>
        <v>14800</v>
      </c>
      <c r="S374" s="3" t="str">
        <f>'Raw Data'!O374</f>
        <v>Yes</v>
      </c>
      <c r="T374" s="3" t="str">
        <f>'Raw Data'!P374</f>
        <v>Chinedu</v>
      </c>
      <c r="U374" s="3" t="str">
        <f t="shared" si="28"/>
        <v>February</v>
      </c>
      <c r="V374" s="11">
        <f t="shared" si="29"/>
        <v>1</v>
      </c>
    </row>
    <row r="375" spans="1:22" x14ac:dyDescent="0.25">
      <c r="A375" s="3">
        <f>'Raw Data'!A375</f>
        <v>100374</v>
      </c>
      <c r="B375" s="4">
        <f>'Raw Data'!B375</f>
        <v>46112</v>
      </c>
      <c r="C375" s="3" t="str">
        <f>'Raw Data'!C375</f>
        <v>KN-01</v>
      </c>
      <c r="D375" s="3" t="str">
        <f>PROPER(TRIM('Raw Data'!D375))</f>
        <v>Kano</v>
      </c>
      <c r="E375" s="3" t="str">
        <f>'Raw Data'!E375</f>
        <v>Online</v>
      </c>
      <c r="F375" s="3" t="str">
        <f>IF(PROPER(TRIM('Raw Data'!F375))="Accessory","Accessories",PROPER(TRIM('Raw Data'!F375)))</f>
        <v>Home</v>
      </c>
      <c r="G375" s="3" t="str">
        <f>'Raw Data'!G375</f>
        <v>Electric Kettle</v>
      </c>
      <c r="H375" s="3" t="str">
        <f>'Raw Data'!H375</f>
        <v>C1063</v>
      </c>
      <c r="I375" s="3" t="str">
        <f>'Raw Data'!I375</f>
        <v>New</v>
      </c>
      <c r="J375" s="3">
        <f>'Raw Data'!J375</f>
        <v>1</v>
      </c>
      <c r="K375" s="5">
        <f>'Raw Data'!K375</f>
        <v>24000</v>
      </c>
      <c r="L375" s="6">
        <f>'Raw Data'!L375</f>
        <v>0.05</v>
      </c>
      <c r="M375" s="5">
        <f>'Raw Data'!M375</f>
        <v>22800</v>
      </c>
      <c r="N375" s="5">
        <f t="shared" si="25"/>
        <v>22800</v>
      </c>
      <c r="O375" s="5">
        <f>'Raw Data'!N375</f>
        <v>15000</v>
      </c>
      <c r="P375" s="5">
        <f>IF(ISBLANK('Raw Data'!N375),AVERAGEIFS('Raw Data'!$N$2:$N$433,'Raw Data'!$G$2:$G$433,G375),'Raw Data'!N375)</f>
        <v>15000</v>
      </c>
      <c r="Q375" s="5">
        <f t="shared" si="26"/>
        <v>15000</v>
      </c>
      <c r="R375" s="5">
        <f t="shared" si="27"/>
        <v>7800</v>
      </c>
      <c r="S375" s="3" t="str">
        <f>'Raw Data'!O375</f>
        <v>No</v>
      </c>
      <c r="T375" s="3" t="str">
        <f>'Raw Data'!P375</f>
        <v>Fatima</v>
      </c>
      <c r="U375" s="3" t="str">
        <f t="shared" si="28"/>
        <v>March</v>
      </c>
      <c r="V375" s="11">
        <f t="shared" si="29"/>
        <v>0</v>
      </c>
    </row>
    <row r="376" spans="1:22" x14ac:dyDescent="0.25">
      <c r="A376" s="3">
        <f>'Raw Data'!A376</f>
        <v>100375</v>
      </c>
      <c r="B376" s="4">
        <f>'Raw Data'!B376</f>
        <v>46026</v>
      </c>
      <c r="C376" s="3" t="str">
        <f>'Raw Data'!C376</f>
        <v>AB-01</v>
      </c>
      <c r="D376" s="3" t="str">
        <f>PROPER(TRIM('Raw Data'!D376))</f>
        <v>Abuja</v>
      </c>
      <c r="E376" s="3" t="str">
        <f>'Raw Data'!E376</f>
        <v>In-store</v>
      </c>
      <c r="F376" s="3" t="str">
        <f>IF(PROPER(TRIM('Raw Data'!F376))="Accessory","Accessories",PROPER(TRIM('Raw Data'!F376)))</f>
        <v>Home</v>
      </c>
      <c r="G376" s="3" t="str">
        <f>'Raw Data'!G376</f>
        <v>Blender</v>
      </c>
      <c r="H376" s="3" t="str">
        <f>'Raw Data'!H376</f>
        <v>C1085</v>
      </c>
      <c r="I376" s="3" t="str">
        <f>'Raw Data'!I376</f>
        <v>New</v>
      </c>
      <c r="J376" s="3">
        <f>'Raw Data'!J376</f>
        <v>2</v>
      </c>
      <c r="K376" s="5">
        <f>'Raw Data'!K376</f>
        <v>42000</v>
      </c>
      <c r="L376" s="6">
        <f>'Raw Data'!L376</f>
        <v>0.25</v>
      </c>
      <c r="M376" s="5">
        <f>'Raw Data'!M376</f>
        <v>63000</v>
      </c>
      <c r="N376" s="5">
        <f t="shared" si="25"/>
        <v>63000</v>
      </c>
      <c r="O376" s="5">
        <f>'Raw Data'!N376</f>
        <v>28000</v>
      </c>
      <c r="P376" s="5">
        <f>IF(ISBLANK('Raw Data'!N376),AVERAGEIFS('Raw Data'!$N$2:$N$433,'Raw Data'!$G$2:$G$433,G376),'Raw Data'!N376)</f>
        <v>28000</v>
      </c>
      <c r="Q376" s="5">
        <f t="shared" si="26"/>
        <v>56000</v>
      </c>
      <c r="R376" s="5">
        <f t="shared" si="27"/>
        <v>7000</v>
      </c>
      <c r="S376" s="3" t="str">
        <f>'Raw Data'!O376</f>
        <v>No</v>
      </c>
      <c r="T376" s="3" t="str">
        <f>'Raw Data'!P376</f>
        <v>Chinedu</v>
      </c>
      <c r="U376" s="3" t="str">
        <f t="shared" si="28"/>
        <v>January</v>
      </c>
      <c r="V376" s="11">
        <f t="shared" si="29"/>
        <v>0</v>
      </c>
    </row>
    <row r="377" spans="1:22" x14ac:dyDescent="0.25">
      <c r="A377" s="3">
        <f>'Raw Data'!A377</f>
        <v>100376</v>
      </c>
      <c r="B377" s="4">
        <f>'Raw Data'!B377</f>
        <v>46050</v>
      </c>
      <c r="C377" s="3" t="str">
        <f>'Raw Data'!C377</f>
        <v>KN-01</v>
      </c>
      <c r="D377" s="3" t="str">
        <f>PROPER(TRIM('Raw Data'!D377))</f>
        <v>Kano</v>
      </c>
      <c r="E377" s="3" t="str">
        <f>'Raw Data'!E377</f>
        <v>In-store</v>
      </c>
      <c r="F377" s="3" t="str">
        <f>IF(PROPER(TRIM('Raw Data'!F377))="Accessory","Accessories",PROPER(TRIM('Raw Data'!F377)))</f>
        <v>Electronics</v>
      </c>
      <c r="G377" s="3" t="str">
        <f>'Raw Data'!G377</f>
        <v>Smartphone</v>
      </c>
      <c r="H377" s="3" t="str">
        <f>'Raw Data'!H377</f>
        <v>C1160</v>
      </c>
      <c r="I377" s="3" t="str">
        <f>'Raw Data'!I377</f>
        <v>New</v>
      </c>
      <c r="J377" s="3">
        <f>'Raw Data'!J377</f>
        <v>1</v>
      </c>
      <c r="K377" s="5">
        <f>'Raw Data'!K377</f>
        <v>165000</v>
      </c>
      <c r="L377" s="6">
        <f>'Raw Data'!L377</f>
        <v>0.1</v>
      </c>
      <c r="M377" s="5">
        <f>'Raw Data'!M377</f>
        <v>148500</v>
      </c>
      <c r="N377" s="5">
        <f t="shared" si="25"/>
        <v>148500</v>
      </c>
      <c r="O377" s="5">
        <f>'Raw Data'!N377</f>
        <v>112000</v>
      </c>
      <c r="P377" s="5">
        <f>IF(ISBLANK('Raw Data'!N377),AVERAGEIFS('Raw Data'!$N$2:$N$433,'Raw Data'!$G$2:$G$433,G377),'Raw Data'!N377)</f>
        <v>112000</v>
      </c>
      <c r="Q377" s="5">
        <f t="shared" si="26"/>
        <v>112000</v>
      </c>
      <c r="R377" s="5">
        <f t="shared" si="27"/>
        <v>36500</v>
      </c>
      <c r="S377" s="3" t="str">
        <f>'Raw Data'!O377</f>
        <v>No</v>
      </c>
      <c r="T377" s="3" t="str">
        <f>'Raw Data'!P377</f>
        <v>Kemi</v>
      </c>
      <c r="U377" s="3" t="str">
        <f t="shared" si="28"/>
        <v>January</v>
      </c>
      <c r="V377" s="11">
        <f t="shared" si="29"/>
        <v>0</v>
      </c>
    </row>
    <row r="378" spans="1:22" x14ac:dyDescent="0.25">
      <c r="A378" s="3">
        <f>'Raw Data'!A378</f>
        <v>100377</v>
      </c>
      <c r="B378" s="4">
        <f>'Raw Data'!B378</f>
        <v>46139</v>
      </c>
      <c r="C378" s="3" t="str">
        <f>'Raw Data'!C378</f>
        <v>LG-02</v>
      </c>
      <c r="D378" s="3" t="str">
        <f>PROPER(TRIM('Raw Data'!D378))</f>
        <v>Lagos</v>
      </c>
      <c r="E378" s="3" t="str">
        <f>'Raw Data'!E378</f>
        <v>In-store</v>
      </c>
      <c r="F378" s="3" t="str">
        <f>IF(PROPER(TRIM('Raw Data'!F378))="Accessory","Accessories",PROPER(TRIM('Raw Data'!F378)))</f>
        <v>Accessories</v>
      </c>
      <c r="G378" s="3" t="str">
        <f>'Raw Data'!G378</f>
        <v>USB Cable</v>
      </c>
      <c r="H378" s="3" t="str">
        <f>'Raw Data'!H378</f>
        <v>C1048</v>
      </c>
      <c r="I378" s="3" t="str">
        <f>'Raw Data'!I378</f>
        <v>New</v>
      </c>
      <c r="J378" s="3">
        <f>'Raw Data'!J378</f>
        <v>3</v>
      </c>
      <c r="K378" s="5">
        <f>'Raw Data'!K378</f>
        <v>6500</v>
      </c>
      <c r="L378" s="6">
        <f>'Raw Data'!L378</f>
        <v>0.05</v>
      </c>
      <c r="M378" s="5">
        <f>'Raw Data'!M378</f>
        <v>18525</v>
      </c>
      <c r="N378" s="5">
        <f t="shared" si="25"/>
        <v>18525</v>
      </c>
      <c r="O378" s="5">
        <f>'Raw Data'!N378</f>
        <v>2200</v>
      </c>
      <c r="P378" s="5">
        <f>IF(ISBLANK('Raw Data'!N378),AVERAGEIFS('Raw Data'!$N$2:$N$433,'Raw Data'!$G$2:$G$433,G378),'Raw Data'!N378)</f>
        <v>2200</v>
      </c>
      <c r="Q378" s="5">
        <f t="shared" si="26"/>
        <v>6600</v>
      </c>
      <c r="R378" s="5">
        <f t="shared" si="27"/>
        <v>11925</v>
      </c>
      <c r="S378" s="3" t="str">
        <f>'Raw Data'!O378</f>
        <v>Yes</v>
      </c>
      <c r="T378" s="3" t="str">
        <f>'Raw Data'!P378</f>
        <v>Kemi</v>
      </c>
      <c r="U378" s="3" t="str">
        <f t="shared" si="28"/>
        <v>April</v>
      </c>
      <c r="V378" s="11">
        <f t="shared" si="29"/>
        <v>1</v>
      </c>
    </row>
    <row r="379" spans="1:22" x14ac:dyDescent="0.25">
      <c r="A379" s="3">
        <f>'Raw Data'!A379</f>
        <v>100378</v>
      </c>
      <c r="B379" s="4">
        <f>'Raw Data'!B379</f>
        <v>46121</v>
      </c>
      <c r="C379" s="3" t="str">
        <f>'Raw Data'!C379</f>
        <v>IB-01</v>
      </c>
      <c r="D379" s="3" t="str">
        <f>PROPER(TRIM('Raw Data'!D379))</f>
        <v>Ibadan</v>
      </c>
      <c r="E379" s="3" t="str">
        <f>'Raw Data'!E379</f>
        <v>Online</v>
      </c>
      <c r="F379" s="3" t="str">
        <f>IF(PROPER(TRIM('Raw Data'!F379))="Accessory","Accessories",PROPER(TRIM('Raw Data'!F379)))</f>
        <v>Electronics</v>
      </c>
      <c r="G379" s="3" t="str">
        <f>'Raw Data'!G379</f>
        <v>Smartphone</v>
      </c>
      <c r="H379" s="3" t="str">
        <f>'Raw Data'!H379</f>
        <v>C1007</v>
      </c>
      <c r="I379" s="3" t="str">
        <f>'Raw Data'!I379</f>
        <v>New</v>
      </c>
      <c r="J379" s="3">
        <f>'Raw Data'!J379</f>
        <v>3</v>
      </c>
      <c r="K379" s="5">
        <f>'Raw Data'!K379</f>
        <v>165000</v>
      </c>
      <c r="L379" s="6">
        <f>'Raw Data'!L379</f>
        <v>0.05</v>
      </c>
      <c r="M379" s="5">
        <f>'Raw Data'!M379</f>
        <v>470250</v>
      </c>
      <c r="N379" s="5">
        <f t="shared" si="25"/>
        <v>470250</v>
      </c>
      <c r="O379" s="5">
        <f>'Raw Data'!N379</f>
        <v>112000</v>
      </c>
      <c r="P379" s="5">
        <f>IF(ISBLANK('Raw Data'!N379),AVERAGEIFS('Raw Data'!$N$2:$N$433,'Raw Data'!$G$2:$G$433,G379),'Raw Data'!N379)</f>
        <v>112000</v>
      </c>
      <c r="Q379" s="5">
        <f t="shared" si="26"/>
        <v>336000</v>
      </c>
      <c r="R379" s="5">
        <f t="shared" si="27"/>
        <v>134250</v>
      </c>
      <c r="S379" s="3" t="str">
        <f>'Raw Data'!O379</f>
        <v>No</v>
      </c>
      <c r="T379" s="3" t="str">
        <f>'Raw Data'!P379</f>
        <v>Aisha</v>
      </c>
      <c r="U379" s="3" t="str">
        <f t="shared" si="28"/>
        <v>April</v>
      </c>
      <c r="V379" s="11">
        <f t="shared" si="29"/>
        <v>0</v>
      </c>
    </row>
    <row r="380" spans="1:22" x14ac:dyDescent="0.25">
      <c r="A380" s="3">
        <f>'Raw Data'!A380</f>
        <v>100379</v>
      </c>
      <c r="B380" s="4">
        <f>'Raw Data'!B380</f>
        <v>46095</v>
      </c>
      <c r="C380" s="3" t="str">
        <f>'Raw Data'!C380</f>
        <v>AB-01</v>
      </c>
      <c r="D380" s="3" t="str">
        <f>PROPER(TRIM('Raw Data'!D380))</f>
        <v>Abuja</v>
      </c>
      <c r="E380" s="3" t="str">
        <f>'Raw Data'!E380</f>
        <v>In-store</v>
      </c>
      <c r="F380" s="3" t="str">
        <f>IF(PROPER(TRIM('Raw Data'!F380))="Accessory","Accessories",PROPER(TRIM('Raw Data'!F380)))</f>
        <v>Home</v>
      </c>
      <c r="G380" s="3" t="str">
        <f>'Raw Data'!G380</f>
        <v>Standing Fan</v>
      </c>
      <c r="H380" s="3" t="str">
        <f>'Raw Data'!H380</f>
        <v>C1022</v>
      </c>
      <c r="I380" s="3" t="str">
        <f>'Raw Data'!I380</f>
        <v>Returning</v>
      </c>
      <c r="J380" s="3">
        <f>'Raw Data'!J380</f>
        <v>3</v>
      </c>
      <c r="K380" s="5">
        <f>'Raw Data'!K380</f>
        <v>58000</v>
      </c>
      <c r="L380" s="6">
        <f>'Raw Data'!L380</f>
        <v>0.25</v>
      </c>
      <c r="M380" s="5">
        <f>'Raw Data'!M380</f>
        <v>130500</v>
      </c>
      <c r="N380" s="5">
        <f t="shared" si="25"/>
        <v>130500</v>
      </c>
      <c r="O380" s="5">
        <f>'Raw Data'!N380</f>
        <v>39000</v>
      </c>
      <c r="P380" s="5">
        <f>IF(ISBLANK('Raw Data'!N380),AVERAGEIFS('Raw Data'!$N$2:$N$433,'Raw Data'!$G$2:$G$433,G380),'Raw Data'!N380)</f>
        <v>39000</v>
      </c>
      <c r="Q380" s="5">
        <f t="shared" si="26"/>
        <v>117000</v>
      </c>
      <c r="R380" s="5">
        <f t="shared" si="27"/>
        <v>13500</v>
      </c>
      <c r="S380" s="3" t="str">
        <f>'Raw Data'!O380</f>
        <v>No</v>
      </c>
      <c r="T380" s="3" t="str">
        <f>'Raw Data'!P380</f>
        <v>Ibrahim</v>
      </c>
      <c r="U380" s="3" t="str">
        <f t="shared" si="28"/>
        <v>March</v>
      </c>
      <c r="V380" s="11">
        <f t="shared" si="29"/>
        <v>0</v>
      </c>
    </row>
    <row r="381" spans="1:22" x14ac:dyDescent="0.25">
      <c r="A381" s="3">
        <f>'Raw Data'!A381</f>
        <v>100380</v>
      </c>
      <c r="B381" s="4">
        <f>'Raw Data'!B381</f>
        <v>46051</v>
      </c>
      <c r="C381" s="3" t="str">
        <f>'Raw Data'!C381</f>
        <v>KN-01</v>
      </c>
      <c r="D381" s="3" t="str">
        <f>PROPER(TRIM('Raw Data'!D381))</f>
        <v>Kano</v>
      </c>
      <c r="E381" s="3" t="str">
        <f>'Raw Data'!E381</f>
        <v>WhatsApp</v>
      </c>
      <c r="F381" s="3" t="str">
        <f>IF(PROPER(TRIM('Raw Data'!F381))="Accessory","Accessories",PROPER(TRIM('Raw Data'!F381)))</f>
        <v>Electronics</v>
      </c>
      <c r="G381" s="3" t="str">
        <f>'Raw Data'!G381</f>
        <v>Earbuds</v>
      </c>
      <c r="H381" s="3" t="str">
        <f>'Raw Data'!H381</f>
        <v>C1119</v>
      </c>
      <c r="I381" s="3" t="str">
        <f>'Raw Data'!I381</f>
        <v>Returning</v>
      </c>
      <c r="J381" s="3">
        <f>'Raw Data'!J381</f>
        <v>2</v>
      </c>
      <c r="K381" s="5">
        <f>'Raw Data'!K381</f>
        <v>32000</v>
      </c>
      <c r="L381" s="6">
        <f>'Raw Data'!L381</f>
        <v>0.15</v>
      </c>
      <c r="M381" s="5">
        <f>'Raw Data'!M381</f>
        <v>54400</v>
      </c>
      <c r="N381" s="5">
        <f t="shared" si="25"/>
        <v>54400</v>
      </c>
      <c r="O381" s="5">
        <f>'Raw Data'!N381</f>
        <v>19000</v>
      </c>
      <c r="P381" s="5">
        <f>IF(ISBLANK('Raw Data'!N381),AVERAGEIFS('Raw Data'!$N$2:$N$433,'Raw Data'!$G$2:$G$433,G381),'Raw Data'!N381)</f>
        <v>19000</v>
      </c>
      <c r="Q381" s="5">
        <f t="shared" si="26"/>
        <v>38000</v>
      </c>
      <c r="R381" s="5">
        <f t="shared" si="27"/>
        <v>16400</v>
      </c>
      <c r="S381" s="3" t="str">
        <f>'Raw Data'!O381</f>
        <v>No</v>
      </c>
      <c r="T381" s="3" t="str">
        <f>'Raw Data'!P381</f>
        <v>Kemi</v>
      </c>
      <c r="U381" s="3" t="str">
        <f t="shared" si="28"/>
        <v>January</v>
      </c>
      <c r="V381" s="11">
        <f t="shared" si="29"/>
        <v>0</v>
      </c>
    </row>
    <row r="382" spans="1:22" x14ac:dyDescent="0.25">
      <c r="A382" s="3">
        <f>'Raw Data'!A382</f>
        <v>100381</v>
      </c>
      <c r="B382" s="4">
        <f>'Raw Data'!B382</f>
        <v>46115</v>
      </c>
      <c r="C382" s="3" t="str">
        <f>'Raw Data'!C382</f>
        <v>PH-01</v>
      </c>
      <c r="D382" s="3" t="str">
        <f>PROPER(TRIM('Raw Data'!D382))</f>
        <v>Port Harcourt</v>
      </c>
      <c r="E382" s="3" t="str">
        <f>'Raw Data'!E382</f>
        <v>In-store</v>
      </c>
      <c r="F382" s="3" t="str">
        <f>IF(PROPER(TRIM('Raw Data'!F382))="Accessory","Accessories",PROPER(TRIM('Raw Data'!F382)))</f>
        <v>Accessories</v>
      </c>
      <c r="G382" s="3" t="str">
        <f>'Raw Data'!G382</f>
        <v>Phone Case</v>
      </c>
      <c r="H382" s="3" t="str">
        <f>'Raw Data'!H382</f>
        <v>C1190</v>
      </c>
      <c r="I382" s="3" t="str">
        <f>'Raw Data'!I382</f>
        <v>Returning</v>
      </c>
      <c r="J382" s="3">
        <f>'Raw Data'!J382</f>
        <v>2</v>
      </c>
      <c r="K382" s="5">
        <f>'Raw Data'!K382</f>
        <v>9000</v>
      </c>
      <c r="L382" s="6">
        <f>'Raw Data'!L382</f>
        <v>0.05</v>
      </c>
      <c r="M382" s="5">
        <f>'Raw Data'!M382</f>
        <v>17100</v>
      </c>
      <c r="N382" s="5">
        <f t="shared" si="25"/>
        <v>17100</v>
      </c>
      <c r="O382" s="5">
        <f>'Raw Data'!N382</f>
        <v>3500</v>
      </c>
      <c r="P382" s="5">
        <f>IF(ISBLANK('Raw Data'!N382),AVERAGEIFS('Raw Data'!$N$2:$N$433,'Raw Data'!$G$2:$G$433,G382),'Raw Data'!N382)</f>
        <v>3500</v>
      </c>
      <c r="Q382" s="5">
        <f t="shared" si="26"/>
        <v>7000</v>
      </c>
      <c r="R382" s="5">
        <f t="shared" si="27"/>
        <v>10100</v>
      </c>
      <c r="S382" s="3" t="str">
        <f>'Raw Data'!O382</f>
        <v>No</v>
      </c>
      <c r="T382" s="3" t="str">
        <f>'Raw Data'!P382</f>
        <v>Kemi</v>
      </c>
      <c r="U382" s="3" t="str">
        <f t="shared" si="28"/>
        <v>April</v>
      </c>
      <c r="V382" s="11">
        <f t="shared" si="29"/>
        <v>0</v>
      </c>
    </row>
    <row r="383" spans="1:22" x14ac:dyDescent="0.25">
      <c r="A383" s="3">
        <f>'Raw Data'!A383</f>
        <v>100382</v>
      </c>
      <c r="B383" s="4">
        <f>'Raw Data'!B383</f>
        <v>46249</v>
      </c>
      <c r="C383" s="3" t="str">
        <f>'Raw Data'!C383</f>
        <v>PH-01</v>
      </c>
      <c r="D383" s="3" t="str">
        <f>PROPER(TRIM('Raw Data'!D383))</f>
        <v>Port Harcourt</v>
      </c>
      <c r="E383" s="3" t="str">
        <f>'Raw Data'!E383</f>
        <v>Online</v>
      </c>
      <c r="F383" s="3" t="str">
        <f>IF(PROPER(TRIM('Raw Data'!F383))="Accessory","Accessories",PROPER(TRIM('Raw Data'!F383)))</f>
        <v>Home</v>
      </c>
      <c r="G383" s="3" t="str">
        <f>'Raw Data'!G383</f>
        <v>Blender</v>
      </c>
      <c r="H383" s="3" t="str">
        <f>'Raw Data'!H383</f>
        <v>C1172</v>
      </c>
      <c r="I383" s="3" t="str">
        <f>'Raw Data'!I383</f>
        <v>New</v>
      </c>
      <c r="J383" s="3">
        <f>'Raw Data'!J383</f>
        <v>4</v>
      </c>
      <c r="K383" s="5">
        <f>'Raw Data'!K383</f>
        <v>42000</v>
      </c>
      <c r="L383" s="6">
        <f>'Raw Data'!L383</f>
        <v>0.15</v>
      </c>
      <c r="M383" s="5">
        <f>'Raw Data'!M383</f>
        <v>142800</v>
      </c>
      <c r="N383" s="5">
        <f t="shared" si="25"/>
        <v>142800</v>
      </c>
      <c r="O383" s="5">
        <f>'Raw Data'!N383</f>
        <v>28000</v>
      </c>
      <c r="P383" s="5">
        <f>IF(ISBLANK('Raw Data'!N383),AVERAGEIFS('Raw Data'!$N$2:$N$433,'Raw Data'!$G$2:$G$433,G383),'Raw Data'!N383)</f>
        <v>28000</v>
      </c>
      <c r="Q383" s="5">
        <f t="shared" si="26"/>
        <v>112000</v>
      </c>
      <c r="R383" s="5">
        <f t="shared" si="27"/>
        <v>30800</v>
      </c>
      <c r="S383" s="3" t="str">
        <f>'Raw Data'!O383</f>
        <v>No</v>
      </c>
      <c r="T383" s="3" t="str">
        <f>'Raw Data'!P383</f>
        <v>Aisha</v>
      </c>
      <c r="U383" s="3" t="str">
        <f t="shared" si="28"/>
        <v>August</v>
      </c>
      <c r="V383" s="11">
        <f t="shared" si="29"/>
        <v>0</v>
      </c>
    </row>
    <row r="384" spans="1:22" x14ac:dyDescent="0.25">
      <c r="A384" s="3">
        <f>'Raw Data'!A384</f>
        <v>100383</v>
      </c>
      <c r="B384" s="4">
        <f>'Raw Data'!B384</f>
        <v>46073</v>
      </c>
      <c r="C384" s="3" t="str">
        <f>'Raw Data'!C384</f>
        <v>LG-01</v>
      </c>
      <c r="D384" s="3" t="str">
        <f>PROPER(TRIM('Raw Data'!D384))</f>
        <v>Lagos</v>
      </c>
      <c r="E384" s="3" t="str">
        <f>'Raw Data'!E384</f>
        <v>In-store</v>
      </c>
      <c r="F384" s="3" t="str">
        <f>IF(PROPER(TRIM('Raw Data'!F384))="Accessory","Accessories",PROPER(TRIM('Raw Data'!F384)))</f>
        <v>Accessories</v>
      </c>
      <c r="G384" s="3" t="str">
        <f>'Raw Data'!G384</f>
        <v>USB Cable</v>
      </c>
      <c r="H384" s="3" t="str">
        <f>'Raw Data'!H384</f>
        <v>C1042</v>
      </c>
      <c r="I384" s="3" t="str">
        <f>'Raw Data'!I384</f>
        <v>Returning</v>
      </c>
      <c r="J384" s="3">
        <f>'Raw Data'!J384</f>
        <v>22</v>
      </c>
      <c r="K384" s="5">
        <f>'Raw Data'!K384</f>
        <v>6500</v>
      </c>
      <c r="L384" s="6">
        <f>'Raw Data'!L384</f>
        <v>0</v>
      </c>
      <c r="M384" s="5">
        <f>'Raw Data'!M384</f>
        <v>143000</v>
      </c>
      <c r="N384" s="5">
        <f t="shared" si="25"/>
        <v>143000</v>
      </c>
      <c r="O384" s="5">
        <f>'Raw Data'!N384</f>
        <v>2200</v>
      </c>
      <c r="P384" s="5">
        <f>IF(ISBLANK('Raw Data'!N384),AVERAGEIFS('Raw Data'!$N$2:$N$433,'Raw Data'!$G$2:$G$433,G384),'Raw Data'!N384)</f>
        <v>2200</v>
      </c>
      <c r="Q384" s="5">
        <f t="shared" si="26"/>
        <v>48400</v>
      </c>
      <c r="R384" s="5">
        <f t="shared" si="27"/>
        <v>94600</v>
      </c>
      <c r="S384" s="3" t="str">
        <f>'Raw Data'!O384</f>
        <v>No</v>
      </c>
      <c r="T384" s="3" t="str">
        <f>'Raw Data'!P384</f>
        <v>David</v>
      </c>
      <c r="U384" s="3" t="str">
        <f t="shared" si="28"/>
        <v>February</v>
      </c>
      <c r="V384" s="11">
        <f t="shared" si="29"/>
        <v>0</v>
      </c>
    </row>
    <row r="385" spans="1:22" x14ac:dyDescent="0.25">
      <c r="A385" s="3">
        <f>'Raw Data'!A385</f>
        <v>100384</v>
      </c>
      <c r="B385" s="4">
        <f>'Raw Data'!B385</f>
        <v>46227</v>
      </c>
      <c r="C385" s="3" t="str">
        <f>'Raw Data'!C385</f>
        <v>IB-01</v>
      </c>
      <c r="D385" s="3" t="str">
        <f>PROPER(TRIM('Raw Data'!D385))</f>
        <v>Ibadan</v>
      </c>
      <c r="E385" s="3" t="str">
        <f>'Raw Data'!E385</f>
        <v>Online</v>
      </c>
      <c r="F385" s="3" t="str">
        <f>IF(PROPER(TRIM('Raw Data'!F385))="Accessory","Accessories",PROPER(TRIM('Raw Data'!F385)))</f>
        <v>Home</v>
      </c>
      <c r="G385" s="3" t="str">
        <f>'Raw Data'!G385</f>
        <v>Electric Kettle</v>
      </c>
      <c r="H385" s="3" t="str">
        <f>'Raw Data'!H385</f>
        <v>C1026</v>
      </c>
      <c r="I385" s="3" t="str">
        <f>'Raw Data'!I385</f>
        <v>Returning</v>
      </c>
      <c r="J385" s="3">
        <f>'Raw Data'!J385</f>
        <v>3</v>
      </c>
      <c r="K385" s="5">
        <f>'Raw Data'!K385</f>
        <v>24000</v>
      </c>
      <c r="L385" s="6">
        <f>'Raw Data'!L385</f>
        <v>0.05</v>
      </c>
      <c r="M385" s="5">
        <f>'Raw Data'!M385</f>
        <v>68400</v>
      </c>
      <c r="N385" s="5">
        <f t="shared" si="25"/>
        <v>68400</v>
      </c>
      <c r="O385" s="5">
        <f>'Raw Data'!N385</f>
        <v>15000</v>
      </c>
      <c r="P385" s="5">
        <f>IF(ISBLANK('Raw Data'!N385),AVERAGEIFS('Raw Data'!$N$2:$N$433,'Raw Data'!$G$2:$G$433,G385),'Raw Data'!N385)</f>
        <v>15000</v>
      </c>
      <c r="Q385" s="5">
        <f t="shared" si="26"/>
        <v>45000</v>
      </c>
      <c r="R385" s="5">
        <f t="shared" si="27"/>
        <v>23400</v>
      </c>
      <c r="S385" s="3" t="str">
        <f>'Raw Data'!O385</f>
        <v>No</v>
      </c>
      <c r="T385" s="3" t="str">
        <f>'Raw Data'!P385</f>
        <v>Ibrahim</v>
      </c>
      <c r="U385" s="3" t="str">
        <f t="shared" si="28"/>
        <v>July</v>
      </c>
      <c r="V385" s="11">
        <f t="shared" si="29"/>
        <v>0</v>
      </c>
    </row>
    <row r="386" spans="1:22" x14ac:dyDescent="0.25">
      <c r="A386" s="3">
        <f>'Raw Data'!A386</f>
        <v>100385</v>
      </c>
      <c r="B386" s="4">
        <f>'Raw Data'!B386</f>
        <v>46205</v>
      </c>
      <c r="C386" s="3" t="str">
        <f>'Raw Data'!C386</f>
        <v>LG-02</v>
      </c>
      <c r="D386" s="3" t="str">
        <f>PROPER(TRIM('Raw Data'!D386))</f>
        <v>Lagos</v>
      </c>
      <c r="E386" s="3" t="str">
        <f>'Raw Data'!E386</f>
        <v>In-store</v>
      </c>
      <c r="F386" s="3" t="str">
        <f>IF(PROPER(TRIM('Raw Data'!F386))="Accessory","Accessories",PROPER(TRIM('Raw Data'!F386)))</f>
        <v>Electronics</v>
      </c>
      <c r="G386" s="3" t="str">
        <f>'Raw Data'!G386</f>
        <v>Smartphone</v>
      </c>
      <c r="H386" s="3" t="str">
        <f>'Raw Data'!H386</f>
        <v>C1111</v>
      </c>
      <c r="I386" s="3" t="str">
        <f>'Raw Data'!I386</f>
        <v>Returning</v>
      </c>
      <c r="J386" s="3">
        <f>'Raw Data'!J386</f>
        <v>3</v>
      </c>
      <c r="K386" s="5">
        <f>'Raw Data'!K386</f>
        <v>165000</v>
      </c>
      <c r="L386" s="6">
        <f>'Raw Data'!L386</f>
        <v>0</v>
      </c>
      <c r="M386" s="5">
        <f>'Raw Data'!M386</f>
        <v>495000</v>
      </c>
      <c r="N386" s="5">
        <f t="shared" ref="N386:N433" si="30">J386*K386*(1-L386)</f>
        <v>495000</v>
      </c>
      <c r="O386" s="5">
        <f>'Raw Data'!N386</f>
        <v>112000</v>
      </c>
      <c r="P386" s="5">
        <f>IF(ISBLANK('Raw Data'!N386),AVERAGEIFS('Raw Data'!$N$2:$N$433,'Raw Data'!$G$2:$G$433,G386),'Raw Data'!N386)</f>
        <v>112000</v>
      </c>
      <c r="Q386" s="5">
        <f t="shared" ref="Q386:Q449" si="31">J386*P386</f>
        <v>336000</v>
      </c>
      <c r="R386" s="5">
        <f t="shared" ref="R386:R449" si="32">N386-Q386</f>
        <v>159000</v>
      </c>
      <c r="S386" s="3" t="str">
        <f>'Raw Data'!O386</f>
        <v>No</v>
      </c>
      <c r="T386" s="3" t="str">
        <f>'Raw Data'!P386</f>
        <v>Kemi</v>
      </c>
      <c r="U386" s="3" t="str">
        <f t="shared" ref="U386:U433" si="33">TEXT(B386,"mmmm")</f>
        <v>July</v>
      </c>
      <c r="V386" s="11">
        <f t="shared" si="29"/>
        <v>0</v>
      </c>
    </row>
    <row r="387" spans="1:22" x14ac:dyDescent="0.25">
      <c r="A387" s="3">
        <f>'Raw Data'!A387</f>
        <v>100386</v>
      </c>
      <c r="B387" s="4">
        <f>'Raw Data'!B387</f>
        <v>46049</v>
      </c>
      <c r="C387" s="3" t="str">
        <f>'Raw Data'!C387</f>
        <v>LG-01</v>
      </c>
      <c r="D387" s="3" t="str">
        <f>PROPER(TRIM('Raw Data'!D387))</f>
        <v>Lagos</v>
      </c>
      <c r="E387" s="3" t="str">
        <f>'Raw Data'!E387</f>
        <v>WhatsApp</v>
      </c>
      <c r="F387" s="3" t="str">
        <f>IF(PROPER(TRIM('Raw Data'!F387))="Accessory","Accessories",PROPER(TRIM('Raw Data'!F387)))</f>
        <v>Accessories</v>
      </c>
      <c r="G387" s="3" t="str">
        <f>'Raw Data'!G387</f>
        <v>Phone Case</v>
      </c>
      <c r="H387" s="3" t="str">
        <f>'Raw Data'!H387</f>
        <v>C1068</v>
      </c>
      <c r="I387" s="3" t="str">
        <f>'Raw Data'!I387</f>
        <v>New</v>
      </c>
      <c r="J387" s="3">
        <f>'Raw Data'!J387</f>
        <v>3</v>
      </c>
      <c r="K387" s="5">
        <f>'Raw Data'!K387</f>
        <v>9000</v>
      </c>
      <c r="L387" s="6">
        <f>'Raw Data'!L387</f>
        <v>0</v>
      </c>
      <c r="M387" s="5">
        <f>'Raw Data'!M387</f>
        <v>27000</v>
      </c>
      <c r="N387" s="5">
        <f t="shared" si="30"/>
        <v>27000</v>
      </c>
      <c r="O387" s="5">
        <f>'Raw Data'!N387</f>
        <v>3500</v>
      </c>
      <c r="P387" s="5">
        <f>IF(ISBLANK('Raw Data'!N387),AVERAGEIFS('Raw Data'!$N$2:$N$433,'Raw Data'!$G$2:$G$433,G387),'Raw Data'!N387)</f>
        <v>3500</v>
      </c>
      <c r="Q387" s="5">
        <f t="shared" si="31"/>
        <v>10500</v>
      </c>
      <c r="R387" s="5">
        <f t="shared" si="32"/>
        <v>16500</v>
      </c>
      <c r="S387" s="3" t="str">
        <f>'Raw Data'!O387</f>
        <v>No</v>
      </c>
      <c r="T387" s="3" t="str">
        <f>'Raw Data'!P387</f>
        <v>Ibrahim</v>
      </c>
      <c r="U387" s="3" t="str">
        <f t="shared" si="33"/>
        <v>January</v>
      </c>
      <c r="V387" s="11">
        <f t="shared" ref="V387:V433" si="34">IF(S387="No",0,1)</f>
        <v>0</v>
      </c>
    </row>
    <row r="388" spans="1:22" x14ac:dyDescent="0.25">
      <c r="A388" s="3">
        <f>'Raw Data'!A388</f>
        <v>100387</v>
      </c>
      <c r="B388" s="4">
        <f>'Raw Data'!B388</f>
        <v>46231</v>
      </c>
      <c r="C388" s="3" t="str">
        <f>'Raw Data'!C388</f>
        <v>IB-01</v>
      </c>
      <c r="D388" s="3" t="str">
        <f>PROPER(TRIM('Raw Data'!D388))</f>
        <v>Ibadan</v>
      </c>
      <c r="E388" s="3" t="str">
        <f>'Raw Data'!E388</f>
        <v>In-store</v>
      </c>
      <c r="F388" s="3" t="str">
        <f>IF(PROPER(TRIM('Raw Data'!F388))="Accessory","Accessories",PROPER(TRIM('Raw Data'!F388)))</f>
        <v>Electronics</v>
      </c>
      <c r="G388" s="3" t="str">
        <f>'Raw Data'!G388</f>
        <v>Earbuds</v>
      </c>
      <c r="H388" s="3" t="str">
        <f>'Raw Data'!H388</f>
        <v>C1175</v>
      </c>
      <c r="I388" s="3" t="str">
        <f>'Raw Data'!I388</f>
        <v>Returning</v>
      </c>
      <c r="J388" s="3">
        <f>'Raw Data'!J388</f>
        <v>4</v>
      </c>
      <c r="K388" s="5">
        <f>'Raw Data'!K388</f>
        <v>32000</v>
      </c>
      <c r="L388" s="6">
        <f>'Raw Data'!L388</f>
        <v>0.1</v>
      </c>
      <c r="M388" s="5">
        <f>'Raw Data'!M388</f>
        <v>115200</v>
      </c>
      <c r="N388" s="5">
        <f t="shared" si="30"/>
        <v>115200</v>
      </c>
      <c r="O388" s="5">
        <f>'Raw Data'!N388</f>
        <v>19000</v>
      </c>
      <c r="P388" s="5">
        <f>IF(ISBLANK('Raw Data'!N388),AVERAGEIFS('Raw Data'!$N$2:$N$433,'Raw Data'!$G$2:$G$433,G388),'Raw Data'!N388)</f>
        <v>19000</v>
      </c>
      <c r="Q388" s="5">
        <f t="shared" si="31"/>
        <v>76000</v>
      </c>
      <c r="R388" s="5">
        <f t="shared" si="32"/>
        <v>39200</v>
      </c>
      <c r="S388" s="3" t="str">
        <f>'Raw Data'!O388</f>
        <v>No</v>
      </c>
      <c r="T388" s="3" t="str">
        <f>'Raw Data'!P388</f>
        <v>Kemi</v>
      </c>
      <c r="U388" s="3" t="str">
        <f t="shared" si="33"/>
        <v>July</v>
      </c>
      <c r="V388" s="11">
        <f t="shared" si="34"/>
        <v>0</v>
      </c>
    </row>
    <row r="389" spans="1:22" x14ac:dyDescent="0.25">
      <c r="A389" s="3">
        <f>'Raw Data'!A389</f>
        <v>100388</v>
      </c>
      <c r="B389" s="4">
        <f>'Raw Data'!B389</f>
        <v>46259</v>
      </c>
      <c r="C389" s="3" t="str">
        <f>'Raw Data'!C389</f>
        <v>PH-01</v>
      </c>
      <c r="D389" s="3" t="str">
        <f>PROPER(TRIM('Raw Data'!D389))</f>
        <v>Port Harcourt</v>
      </c>
      <c r="E389" s="3" t="str">
        <f>'Raw Data'!E389</f>
        <v>In-store</v>
      </c>
      <c r="F389" s="3" t="str">
        <f>IF(PROPER(TRIM('Raw Data'!F389))="Accessory","Accessories",PROPER(TRIM('Raw Data'!F389)))</f>
        <v>Electronics</v>
      </c>
      <c r="G389" s="3" t="str">
        <f>'Raw Data'!G389</f>
        <v>Earbuds</v>
      </c>
      <c r="H389" s="3" t="str">
        <f>'Raw Data'!H389</f>
        <v>C1185</v>
      </c>
      <c r="I389" s="3" t="str">
        <f>'Raw Data'!I389</f>
        <v>Returning</v>
      </c>
      <c r="J389" s="3">
        <f>'Raw Data'!J389</f>
        <v>1</v>
      </c>
      <c r="K389" s="5">
        <f>'Raw Data'!K389</f>
        <v>32000</v>
      </c>
      <c r="L389" s="6">
        <f>'Raw Data'!L389</f>
        <v>0</v>
      </c>
      <c r="M389" s="5">
        <f>'Raw Data'!M389</f>
        <v>32000</v>
      </c>
      <c r="N389" s="5">
        <f t="shared" si="30"/>
        <v>32000</v>
      </c>
      <c r="O389" s="5">
        <f>'Raw Data'!N389</f>
        <v>19000</v>
      </c>
      <c r="P389" s="5">
        <f>IF(ISBLANK('Raw Data'!N389),AVERAGEIFS('Raw Data'!$N$2:$N$433,'Raw Data'!$G$2:$G$433,G389),'Raw Data'!N389)</f>
        <v>19000</v>
      </c>
      <c r="Q389" s="5">
        <f t="shared" si="31"/>
        <v>19000</v>
      </c>
      <c r="R389" s="5">
        <f t="shared" si="32"/>
        <v>13000</v>
      </c>
      <c r="S389" s="3" t="str">
        <f>'Raw Data'!O389</f>
        <v>No</v>
      </c>
      <c r="T389" s="3" t="str">
        <f>'Raw Data'!P389</f>
        <v>Bola</v>
      </c>
      <c r="U389" s="3" t="str">
        <f t="shared" si="33"/>
        <v>August</v>
      </c>
      <c r="V389" s="11">
        <f t="shared" si="34"/>
        <v>0</v>
      </c>
    </row>
    <row r="390" spans="1:22" x14ac:dyDescent="0.25">
      <c r="A390" s="3">
        <f>'Raw Data'!A390</f>
        <v>100389</v>
      </c>
      <c r="B390" s="4">
        <f>'Raw Data'!B390</f>
        <v>46190</v>
      </c>
      <c r="C390" s="3" t="str">
        <f>'Raw Data'!C390</f>
        <v>IB-01</v>
      </c>
      <c r="D390" s="3" t="str">
        <f>PROPER(TRIM('Raw Data'!D390))</f>
        <v>Ibadan</v>
      </c>
      <c r="E390" s="3" t="str">
        <f>'Raw Data'!E390</f>
        <v>In-store</v>
      </c>
      <c r="F390" s="3" t="str">
        <f>IF(PROPER(TRIM('Raw Data'!F390))="Accessory","Accessories",PROPER(TRIM('Raw Data'!F390)))</f>
        <v>Home</v>
      </c>
      <c r="G390" s="3" t="str">
        <f>'Raw Data'!G390</f>
        <v>Electric Kettle</v>
      </c>
      <c r="H390" s="3" t="str">
        <f>'Raw Data'!H390</f>
        <v>C1029</v>
      </c>
      <c r="I390" s="3" t="str">
        <f>'Raw Data'!I390</f>
        <v>New</v>
      </c>
      <c r="J390" s="3">
        <f>'Raw Data'!J390</f>
        <v>1</v>
      </c>
      <c r="K390" s="5">
        <f>'Raw Data'!K390</f>
        <v>24000</v>
      </c>
      <c r="L390" s="6">
        <f>'Raw Data'!L390</f>
        <v>0.05</v>
      </c>
      <c r="M390" s="5">
        <f>'Raw Data'!M390</f>
        <v>22800</v>
      </c>
      <c r="N390" s="5">
        <f t="shared" si="30"/>
        <v>22800</v>
      </c>
      <c r="O390" s="5">
        <f>'Raw Data'!N390</f>
        <v>15000</v>
      </c>
      <c r="P390" s="5">
        <f>IF(ISBLANK('Raw Data'!N390),AVERAGEIFS('Raw Data'!$N$2:$N$433,'Raw Data'!$G$2:$G$433,G390),'Raw Data'!N390)</f>
        <v>15000</v>
      </c>
      <c r="Q390" s="5">
        <f t="shared" si="31"/>
        <v>15000</v>
      </c>
      <c r="R390" s="5">
        <f t="shared" si="32"/>
        <v>7800</v>
      </c>
      <c r="S390" s="3" t="str">
        <f>'Raw Data'!O390</f>
        <v>No</v>
      </c>
      <c r="T390" s="3" t="str">
        <f>'Raw Data'!P390</f>
        <v>Aisha</v>
      </c>
      <c r="U390" s="3" t="str">
        <f t="shared" si="33"/>
        <v>June</v>
      </c>
      <c r="V390" s="11">
        <f t="shared" si="34"/>
        <v>0</v>
      </c>
    </row>
    <row r="391" spans="1:22" x14ac:dyDescent="0.25">
      <c r="A391" s="3">
        <f>'Raw Data'!A391</f>
        <v>100390</v>
      </c>
      <c r="B391" s="4">
        <f>'Raw Data'!B391</f>
        <v>46240</v>
      </c>
      <c r="C391" s="3" t="str">
        <f>'Raw Data'!C391</f>
        <v>KN-01</v>
      </c>
      <c r="D391" s="3" t="str">
        <f>PROPER(TRIM('Raw Data'!D391))</f>
        <v>Kano</v>
      </c>
      <c r="E391" s="3" t="str">
        <f>'Raw Data'!E391</f>
        <v>WhatsApp</v>
      </c>
      <c r="F391" s="3" t="str">
        <f>IF(PROPER(TRIM('Raw Data'!F391))="Accessory","Accessories",PROPER(TRIM('Raw Data'!F391)))</f>
        <v>Home</v>
      </c>
      <c r="G391" s="3" t="str">
        <f>'Raw Data'!G391</f>
        <v>Standing Fan</v>
      </c>
      <c r="H391" s="3" t="str">
        <f>'Raw Data'!H391</f>
        <v>C1066</v>
      </c>
      <c r="I391" s="3" t="str">
        <f>'Raw Data'!I391</f>
        <v>Returning</v>
      </c>
      <c r="J391" s="3">
        <f>'Raw Data'!J391</f>
        <v>2</v>
      </c>
      <c r="K391" s="5">
        <f>'Raw Data'!K391</f>
        <v>58000</v>
      </c>
      <c r="L391" s="6">
        <f>'Raw Data'!L391</f>
        <v>0.1</v>
      </c>
      <c r="M391" s="5">
        <f>'Raw Data'!M391</f>
        <v>104400</v>
      </c>
      <c r="N391" s="5">
        <f t="shared" si="30"/>
        <v>104400</v>
      </c>
      <c r="O391" s="5">
        <f>'Raw Data'!N391</f>
        <v>39000</v>
      </c>
      <c r="P391" s="5">
        <f>IF(ISBLANK('Raw Data'!N391),AVERAGEIFS('Raw Data'!$N$2:$N$433,'Raw Data'!$G$2:$G$433,G391),'Raw Data'!N391)</f>
        <v>39000</v>
      </c>
      <c r="Q391" s="5">
        <f t="shared" si="31"/>
        <v>78000</v>
      </c>
      <c r="R391" s="5">
        <f t="shared" si="32"/>
        <v>26400</v>
      </c>
      <c r="S391" s="3" t="str">
        <f>'Raw Data'!O391</f>
        <v>No</v>
      </c>
      <c r="T391" s="3" t="str">
        <f>'Raw Data'!P391</f>
        <v>Ibrahim</v>
      </c>
      <c r="U391" s="3" t="str">
        <f t="shared" si="33"/>
        <v>August</v>
      </c>
      <c r="V391" s="11">
        <f t="shared" si="34"/>
        <v>0</v>
      </c>
    </row>
    <row r="392" spans="1:22" x14ac:dyDescent="0.25">
      <c r="A392" s="3">
        <f>'Raw Data'!A392</f>
        <v>100391</v>
      </c>
      <c r="B392" s="4">
        <f>'Raw Data'!B392</f>
        <v>46125</v>
      </c>
      <c r="C392" s="3" t="str">
        <f>'Raw Data'!C392</f>
        <v>KN-01</v>
      </c>
      <c r="D392" s="3" t="str">
        <f>PROPER(TRIM('Raw Data'!D392))</f>
        <v>Kano</v>
      </c>
      <c r="E392" s="3" t="str">
        <f>'Raw Data'!E392</f>
        <v>Online</v>
      </c>
      <c r="F392" s="3" t="str">
        <f>IF(PROPER(TRIM('Raw Data'!F392))="Accessory","Accessories",PROPER(TRIM('Raw Data'!F392)))</f>
        <v>Accessories</v>
      </c>
      <c r="G392" s="3" t="str">
        <f>'Raw Data'!G392</f>
        <v>Phone Case</v>
      </c>
      <c r="H392" s="3" t="str">
        <f>'Raw Data'!H392</f>
        <v>C1150</v>
      </c>
      <c r="I392" s="3" t="str">
        <f>'Raw Data'!I392</f>
        <v>New</v>
      </c>
      <c r="J392" s="3">
        <f>'Raw Data'!J392</f>
        <v>1</v>
      </c>
      <c r="K392" s="5">
        <f>'Raw Data'!K392</f>
        <v>9000</v>
      </c>
      <c r="L392" s="6">
        <f>'Raw Data'!L392</f>
        <v>0.05</v>
      </c>
      <c r="M392" s="5">
        <f>'Raw Data'!M392</f>
        <v>8550</v>
      </c>
      <c r="N392" s="5">
        <f t="shared" si="30"/>
        <v>8550</v>
      </c>
      <c r="O392" s="5">
        <f>'Raw Data'!N392</f>
        <v>3500</v>
      </c>
      <c r="P392" s="5">
        <f>IF(ISBLANK('Raw Data'!N392),AVERAGEIFS('Raw Data'!$N$2:$N$433,'Raw Data'!$G$2:$G$433,G392),'Raw Data'!N392)</f>
        <v>3500</v>
      </c>
      <c r="Q392" s="5">
        <f t="shared" si="31"/>
        <v>3500</v>
      </c>
      <c r="R392" s="5">
        <f t="shared" si="32"/>
        <v>5050</v>
      </c>
      <c r="S392" s="3" t="str">
        <f>'Raw Data'!O392</f>
        <v>No</v>
      </c>
      <c r="T392" s="3" t="str">
        <f>'Raw Data'!P392</f>
        <v>David</v>
      </c>
      <c r="U392" s="3" t="str">
        <f t="shared" si="33"/>
        <v>April</v>
      </c>
      <c r="V392" s="11">
        <f t="shared" si="34"/>
        <v>0</v>
      </c>
    </row>
    <row r="393" spans="1:22" x14ac:dyDescent="0.25">
      <c r="A393" s="3">
        <f>'Raw Data'!A393</f>
        <v>100392</v>
      </c>
      <c r="B393" s="4">
        <f>'Raw Data'!B393</f>
        <v>46178</v>
      </c>
      <c r="C393" s="3" t="str">
        <f>'Raw Data'!C393</f>
        <v>LG-02</v>
      </c>
      <c r="D393" s="3" t="str">
        <f>PROPER(TRIM('Raw Data'!D393))</f>
        <v>Lagos</v>
      </c>
      <c r="E393" s="3" t="str">
        <f>'Raw Data'!E393</f>
        <v>In-store</v>
      </c>
      <c r="F393" s="3" t="str">
        <f>IF(PROPER(TRIM('Raw Data'!F393))="Accessory","Accessories",PROPER(TRIM('Raw Data'!F393)))</f>
        <v>Accessories</v>
      </c>
      <c r="G393" s="3" t="str">
        <f>'Raw Data'!G393</f>
        <v>USB Cable</v>
      </c>
      <c r="H393" s="3" t="str">
        <f>'Raw Data'!H393</f>
        <v>C1072</v>
      </c>
      <c r="I393" s="3" t="str">
        <f>'Raw Data'!I393</f>
        <v>New</v>
      </c>
      <c r="J393" s="3">
        <f>'Raw Data'!J393</f>
        <v>2</v>
      </c>
      <c r="K393" s="5">
        <f>'Raw Data'!K393</f>
        <v>6500</v>
      </c>
      <c r="L393" s="6">
        <f>'Raw Data'!L393</f>
        <v>0.15</v>
      </c>
      <c r="M393" s="5">
        <f>'Raw Data'!M393</f>
        <v>11050</v>
      </c>
      <c r="N393" s="5">
        <f t="shared" si="30"/>
        <v>11050</v>
      </c>
      <c r="O393" s="5">
        <f>'Raw Data'!N393</f>
        <v>2200</v>
      </c>
      <c r="P393" s="5">
        <f>IF(ISBLANK('Raw Data'!N393),AVERAGEIFS('Raw Data'!$N$2:$N$433,'Raw Data'!$G$2:$G$433,G393),'Raw Data'!N393)</f>
        <v>2200</v>
      </c>
      <c r="Q393" s="5">
        <f t="shared" si="31"/>
        <v>4400</v>
      </c>
      <c r="R393" s="5">
        <f t="shared" si="32"/>
        <v>6650</v>
      </c>
      <c r="S393" s="3" t="str">
        <f>'Raw Data'!O393</f>
        <v>No</v>
      </c>
      <c r="T393" s="3" t="str">
        <f>'Raw Data'!P393</f>
        <v>David</v>
      </c>
      <c r="U393" s="3" t="str">
        <f t="shared" si="33"/>
        <v>June</v>
      </c>
      <c r="V393" s="11">
        <f t="shared" si="34"/>
        <v>0</v>
      </c>
    </row>
    <row r="394" spans="1:22" x14ac:dyDescent="0.25">
      <c r="A394" s="3">
        <f>'Raw Data'!A394</f>
        <v>100393</v>
      </c>
      <c r="B394" s="4">
        <f>'Raw Data'!B394</f>
        <v>46039</v>
      </c>
      <c r="C394" s="3" t="str">
        <f>'Raw Data'!C394</f>
        <v>KN-01</v>
      </c>
      <c r="D394" s="3" t="str">
        <f>PROPER(TRIM('Raw Data'!D394))</f>
        <v>Kano</v>
      </c>
      <c r="E394" s="3" t="str">
        <f>'Raw Data'!E394</f>
        <v>Online</v>
      </c>
      <c r="F394" s="3" t="str">
        <f>IF(PROPER(TRIM('Raw Data'!F394))="Accessory","Accessories",PROPER(TRIM('Raw Data'!F394)))</f>
        <v>Accessories</v>
      </c>
      <c r="G394" s="3" t="str">
        <f>'Raw Data'!G394</f>
        <v>USB Cable</v>
      </c>
      <c r="H394" s="3" t="str">
        <f>'Raw Data'!H394</f>
        <v>C1001</v>
      </c>
      <c r="I394" s="3" t="str">
        <f>'Raw Data'!I394</f>
        <v>Returning</v>
      </c>
      <c r="J394" s="3">
        <f>'Raw Data'!J394</f>
        <v>2</v>
      </c>
      <c r="K394" s="5">
        <f>'Raw Data'!K394</f>
        <v>6500</v>
      </c>
      <c r="L394" s="6">
        <f>'Raw Data'!L394</f>
        <v>0.1</v>
      </c>
      <c r="M394" s="5">
        <f>'Raw Data'!M394</f>
        <v>11700</v>
      </c>
      <c r="N394" s="5">
        <f t="shared" si="30"/>
        <v>11700</v>
      </c>
      <c r="O394" s="5">
        <f>'Raw Data'!N394</f>
        <v>2200</v>
      </c>
      <c r="P394" s="5">
        <f>IF(ISBLANK('Raw Data'!N394),AVERAGEIFS('Raw Data'!$N$2:$N$433,'Raw Data'!$G$2:$G$433,G394),'Raw Data'!N394)</f>
        <v>2200</v>
      </c>
      <c r="Q394" s="5">
        <f t="shared" si="31"/>
        <v>4400</v>
      </c>
      <c r="R394" s="5">
        <f t="shared" si="32"/>
        <v>7300</v>
      </c>
      <c r="S394" s="3" t="str">
        <f>'Raw Data'!O394</f>
        <v>No</v>
      </c>
      <c r="T394" s="3" t="str">
        <f>'Raw Data'!P394</f>
        <v>Chinedu</v>
      </c>
      <c r="U394" s="3" t="str">
        <f t="shared" si="33"/>
        <v>January</v>
      </c>
      <c r="V394" s="11">
        <f t="shared" si="34"/>
        <v>0</v>
      </c>
    </row>
    <row r="395" spans="1:22" x14ac:dyDescent="0.25">
      <c r="A395" s="3">
        <f>'Raw Data'!A395</f>
        <v>100394</v>
      </c>
      <c r="B395" s="4">
        <f>'Raw Data'!B395</f>
        <v>46255</v>
      </c>
      <c r="C395" s="3" t="str">
        <f>'Raw Data'!C395</f>
        <v>LG-01</v>
      </c>
      <c r="D395" s="3" t="str">
        <f>PROPER(TRIM('Raw Data'!D395))</f>
        <v>Lagos</v>
      </c>
      <c r="E395" s="3" t="str">
        <f>'Raw Data'!E395</f>
        <v>Online</v>
      </c>
      <c r="F395" s="3" t="str">
        <f>IF(PROPER(TRIM('Raw Data'!F395))="Accessory","Accessories",PROPER(TRIM('Raw Data'!F395)))</f>
        <v>Accessories</v>
      </c>
      <c r="G395" s="3" t="str">
        <f>'Raw Data'!G395</f>
        <v>Phone Case</v>
      </c>
      <c r="H395" s="3" t="str">
        <f>'Raw Data'!H395</f>
        <v>C1065</v>
      </c>
      <c r="I395" s="3" t="str">
        <f>'Raw Data'!I395</f>
        <v>Returning</v>
      </c>
      <c r="J395" s="3">
        <f>'Raw Data'!J395</f>
        <v>3</v>
      </c>
      <c r="K395" s="5">
        <f>'Raw Data'!K395</f>
        <v>9000</v>
      </c>
      <c r="L395" s="6">
        <f>'Raw Data'!L395</f>
        <v>0.05</v>
      </c>
      <c r="M395" s="5">
        <f>'Raw Data'!M395</f>
        <v>25650</v>
      </c>
      <c r="N395" s="5">
        <f t="shared" si="30"/>
        <v>25650</v>
      </c>
      <c r="O395" s="5">
        <f>'Raw Data'!N395</f>
        <v>3500</v>
      </c>
      <c r="P395" s="5">
        <f>IF(ISBLANK('Raw Data'!N395),AVERAGEIFS('Raw Data'!$N$2:$N$433,'Raw Data'!$G$2:$G$433,G395),'Raw Data'!N395)</f>
        <v>3500</v>
      </c>
      <c r="Q395" s="5">
        <f t="shared" si="31"/>
        <v>10500</v>
      </c>
      <c r="R395" s="5">
        <f t="shared" si="32"/>
        <v>15150</v>
      </c>
      <c r="S395" s="3" t="str">
        <f>'Raw Data'!O395</f>
        <v>No</v>
      </c>
      <c r="T395" s="3" t="str">
        <f>'Raw Data'!P395</f>
        <v>Aisha</v>
      </c>
      <c r="U395" s="3" t="str">
        <f t="shared" si="33"/>
        <v>August</v>
      </c>
      <c r="V395" s="11">
        <f t="shared" si="34"/>
        <v>0</v>
      </c>
    </row>
    <row r="396" spans="1:22" x14ac:dyDescent="0.25">
      <c r="A396" s="3">
        <f>'Raw Data'!A396</f>
        <v>100395</v>
      </c>
      <c r="B396" s="4">
        <f>'Raw Data'!B396</f>
        <v>46151</v>
      </c>
      <c r="C396" s="3" t="str">
        <f>'Raw Data'!C396</f>
        <v>KN-01</v>
      </c>
      <c r="D396" s="3" t="str">
        <f>PROPER(TRIM('Raw Data'!D396))</f>
        <v>Kano</v>
      </c>
      <c r="E396" s="3" t="str">
        <f>'Raw Data'!E396</f>
        <v>WhatsApp</v>
      </c>
      <c r="F396" s="3" t="str">
        <f>IF(PROPER(TRIM('Raw Data'!F396))="Accessory","Accessories",PROPER(TRIM('Raw Data'!F396)))</f>
        <v>Accessories</v>
      </c>
      <c r="G396" s="3" t="str">
        <f>'Raw Data'!G396</f>
        <v>Backpack</v>
      </c>
      <c r="H396" s="3" t="str">
        <f>'Raw Data'!H396</f>
        <v>C1089</v>
      </c>
      <c r="I396" s="3" t="str">
        <f>'Raw Data'!I396</f>
        <v>Returning</v>
      </c>
      <c r="J396" s="3">
        <f>'Raw Data'!J396</f>
        <v>2</v>
      </c>
      <c r="K396" s="5">
        <f>'Raw Data'!K396</f>
        <v>28000</v>
      </c>
      <c r="L396" s="6">
        <f>'Raw Data'!L396</f>
        <v>0.05</v>
      </c>
      <c r="M396" s="5">
        <f>'Raw Data'!M396</f>
        <v>53200</v>
      </c>
      <c r="N396" s="5">
        <f t="shared" si="30"/>
        <v>53200</v>
      </c>
      <c r="O396" s="5">
        <f>'Raw Data'!N396</f>
        <v>16000</v>
      </c>
      <c r="P396" s="5">
        <f>IF(ISBLANK('Raw Data'!N396),AVERAGEIFS('Raw Data'!$N$2:$N$433,'Raw Data'!$G$2:$G$433,G396),'Raw Data'!N396)</f>
        <v>16000</v>
      </c>
      <c r="Q396" s="5">
        <f t="shared" si="31"/>
        <v>32000</v>
      </c>
      <c r="R396" s="5">
        <f t="shared" si="32"/>
        <v>21200</v>
      </c>
      <c r="S396" s="3" t="str">
        <f>'Raw Data'!O396</f>
        <v>No</v>
      </c>
      <c r="T396" s="3" t="str">
        <f>'Raw Data'!P396</f>
        <v>Aisha</v>
      </c>
      <c r="U396" s="3" t="str">
        <f t="shared" si="33"/>
        <v>May</v>
      </c>
      <c r="V396" s="11">
        <f t="shared" si="34"/>
        <v>0</v>
      </c>
    </row>
    <row r="397" spans="1:22" x14ac:dyDescent="0.25">
      <c r="A397" s="3">
        <f>'Raw Data'!A397</f>
        <v>100396</v>
      </c>
      <c r="B397" s="4">
        <f>'Raw Data'!B397</f>
        <v>46048</v>
      </c>
      <c r="C397" s="3" t="str">
        <f>'Raw Data'!C397</f>
        <v>AB-01</v>
      </c>
      <c r="D397" s="3" t="str">
        <f>PROPER(TRIM('Raw Data'!D397))</f>
        <v>Abuja</v>
      </c>
      <c r="E397" s="3" t="str">
        <f>'Raw Data'!E397</f>
        <v>In-store</v>
      </c>
      <c r="F397" s="3" t="str">
        <f>IF(PROPER(TRIM('Raw Data'!F397))="Accessory","Accessories",PROPER(TRIM('Raw Data'!F397)))</f>
        <v>Home</v>
      </c>
      <c r="G397" s="3" t="str">
        <f>'Raw Data'!G397</f>
        <v>Electric Kettle</v>
      </c>
      <c r="H397" s="3" t="str">
        <f>'Raw Data'!H397</f>
        <v>C1138</v>
      </c>
      <c r="I397" s="3" t="str">
        <f>'Raw Data'!I397</f>
        <v>Returning</v>
      </c>
      <c r="J397" s="3">
        <f>'Raw Data'!J397</f>
        <v>1</v>
      </c>
      <c r="K397" s="5">
        <f>'Raw Data'!K397</f>
        <v>24000</v>
      </c>
      <c r="L397" s="6">
        <f>'Raw Data'!L397</f>
        <v>0.2</v>
      </c>
      <c r="M397" s="5">
        <f>'Raw Data'!M397</f>
        <v>19200</v>
      </c>
      <c r="N397" s="5">
        <f t="shared" si="30"/>
        <v>19200</v>
      </c>
      <c r="O397" s="5">
        <f>'Raw Data'!N397</f>
        <v>15000</v>
      </c>
      <c r="P397" s="5">
        <f>IF(ISBLANK('Raw Data'!N397),AVERAGEIFS('Raw Data'!$N$2:$N$433,'Raw Data'!$G$2:$G$433,G397),'Raw Data'!N397)</f>
        <v>15000</v>
      </c>
      <c r="Q397" s="5">
        <f t="shared" si="31"/>
        <v>15000</v>
      </c>
      <c r="R397" s="5">
        <f t="shared" si="32"/>
        <v>4200</v>
      </c>
      <c r="S397" s="3" t="str">
        <f>'Raw Data'!O397</f>
        <v>No</v>
      </c>
      <c r="T397" s="3" t="str">
        <f>'Raw Data'!P397</f>
        <v>Bola</v>
      </c>
      <c r="U397" s="3" t="str">
        <f t="shared" si="33"/>
        <v>January</v>
      </c>
      <c r="V397" s="11">
        <f t="shared" si="34"/>
        <v>0</v>
      </c>
    </row>
    <row r="398" spans="1:22" x14ac:dyDescent="0.25">
      <c r="A398" s="3">
        <f>'Raw Data'!A398</f>
        <v>100397</v>
      </c>
      <c r="B398" s="4">
        <f>'Raw Data'!B398</f>
        <v>46190</v>
      </c>
      <c r="C398" s="3" t="str">
        <f>'Raw Data'!C398</f>
        <v>LG-02</v>
      </c>
      <c r="D398" s="3" t="str">
        <f>PROPER(TRIM('Raw Data'!D398))</f>
        <v>Lagos</v>
      </c>
      <c r="E398" s="3" t="str">
        <f>'Raw Data'!E398</f>
        <v>WhatsApp</v>
      </c>
      <c r="F398" s="3" t="str">
        <f>IF(PROPER(TRIM('Raw Data'!F398))="Accessory","Accessories",PROPER(TRIM('Raw Data'!F398)))</f>
        <v>Electronics</v>
      </c>
      <c r="G398" s="3" t="str">
        <f>'Raw Data'!G398</f>
        <v>Smartphone</v>
      </c>
      <c r="H398" s="3" t="str">
        <f>'Raw Data'!H398</f>
        <v>C1039</v>
      </c>
      <c r="I398" s="3" t="str">
        <f>'Raw Data'!I398</f>
        <v>New</v>
      </c>
      <c r="J398" s="3">
        <f>'Raw Data'!J398</f>
        <v>3</v>
      </c>
      <c r="K398" s="5">
        <f>'Raw Data'!K398</f>
        <v>165000</v>
      </c>
      <c r="L398" s="6">
        <f>'Raw Data'!L398</f>
        <v>0</v>
      </c>
      <c r="M398" s="5">
        <f>'Raw Data'!M398</f>
        <v>495000</v>
      </c>
      <c r="N398" s="5">
        <f t="shared" si="30"/>
        <v>495000</v>
      </c>
      <c r="O398" s="5">
        <f>'Raw Data'!N398</f>
        <v>112000</v>
      </c>
      <c r="P398" s="5">
        <f>IF(ISBLANK('Raw Data'!N398),AVERAGEIFS('Raw Data'!$N$2:$N$433,'Raw Data'!$G$2:$G$433,G398),'Raw Data'!N398)</f>
        <v>112000</v>
      </c>
      <c r="Q398" s="5">
        <f t="shared" si="31"/>
        <v>336000</v>
      </c>
      <c r="R398" s="5">
        <f t="shared" si="32"/>
        <v>159000</v>
      </c>
      <c r="S398" s="3" t="str">
        <f>'Raw Data'!O398</f>
        <v>No</v>
      </c>
      <c r="T398" s="3" t="str">
        <f>'Raw Data'!P398</f>
        <v>Grace</v>
      </c>
      <c r="U398" s="3" t="str">
        <f t="shared" si="33"/>
        <v>June</v>
      </c>
      <c r="V398" s="11">
        <f t="shared" si="34"/>
        <v>0</v>
      </c>
    </row>
    <row r="399" spans="1:22" x14ac:dyDescent="0.25">
      <c r="A399" s="3">
        <f>'Raw Data'!A399</f>
        <v>100398</v>
      </c>
      <c r="B399" s="4">
        <f>'Raw Data'!B399</f>
        <v>46218</v>
      </c>
      <c r="C399" s="3" t="str">
        <f>'Raw Data'!C399</f>
        <v>LG-01</v>
      </c>
      <c r="D399" s="3" t="str">
        <f>PROPER(TRIM('Raw Data'!D399))</f>
        <v>Lagos</v>
      </c>
      <c r="E399" s="3" t="str">
        <f>'Raw Data'!E399</f>
        <v>In-store</v>
      </c>
      <c r="F399" s="3" t="str">
        <f>IF(PROPER(TRIM('Raw Data'!F399))="Accessory","Accessories",PROPER(TRIM('Raw Data'!F399)))</f>
        <v>Home</v>
      </c>
      <c r="G399" s="3" t="str">
        <f>'Raw Data'!G399</f>
        <v>Standing Fan</v>
      </c>
      <c r="H399" s="3" t="str">
        <f>'Raw Data'!H399</f>
        <v>C1134</v>
      </c>
      <c r="I399" s="3" t="str">
        <f>'Raw Data'!I399</f>
        <v>Returning</v>
      </c>
      <c r="J399" s="3">
        <f>'Raw Data'!J399</f>
        <v>4</v>
      </c>
      <c r="K399" s="5">
        <f>'Raw Data'!K399</f>
        <v>58000</v>
      </c>
      <c r="L399" s="6">
        <f>'Raw Data'!L399</f>
        <v>0</v>
      </c>
      <c r="M399" s="5">
        <f>'Raw Data'!M399</f>
        <v>232000</v>
      </c>
      <c r="N399" s="5">
        <f t="shared" si="30"/>
        <v>232000</v>
      </c>
      <c r="O399" s="5">
        <f>'Raw Data'!N399</f>
        <v>39000</v>
      </c>
      <c r="P399" s="5">
        <f>IF(ISBLANK('Raw Data'!N399),AVERAGEIFS('Raw Data'!$N$2:$N$433,'Raw Data'!$G$2:$G$433,G399),'Raw Data'!N399)</f>
        <v>39000</v>
      </c>
      <c r="Q399" s="5">
        <f t="shared" si="31"/>
        <v>156000</v>
      </c>
      <c r="R399" s="5">
        <f t="shared" si="32"/>
        <v>76000</v>
      </c>
      <c r="S399" s="3" t="str">
        <f>'Raw Data'!O399</f>
        <v>No</v>
      </c>
      <c r="T399" s="3" t="str">
        <f>'Raw Data'!P399</f>
        <v>Grace</v>
      </c>
      <c r="U399" s="3" t="str">
        <f t="shared" si="33"/>
        <v>July</v>
      </c>
      <c r="V399" s="11">
        <f t="shared" si="34"/>
        <v>0</v>
      </c>
    </row>
    <row r="400" spans="1:22" x14ac:dyDescent="0.25">
      <c r="A400" s="3">
        <f>'Raw Data'!A400</f>
        <v>100399</v>
      </c>
      <c r="B400" s="4">
        <f>'Raw Data'!B400</f>
        <v>46173</v>
      </c>
      <c r="C400" s="3" t="str">
        <f>'Raw Data'!C400</f>
        <v>KN-01</v>
      </c>
      <c r="D400" s="3" t="str">
        <f>PROPER(TRIM('Raw Data'!D400))</f>
        <v>Kano</v>
      </c>
      <c r="E400" s="3" t="str">
        <f>'Raw Data'!E400</f>
        <v>Online</v>
      </c>
      <c r="F400" s="3" t="str">
        <f>IF(PROPER(TRIM('Raw Data'!F400))="Accessory","Accessories",PROPER(TRIM('Raw Data'!F400)))</f>
        <v>Electronics</v>
      </c>
      <c r="G400" s="3" t="str">
        <f>'Raw Data'!G400</f>
        <v>Power Bank</v>
      </c>
      <c r="H400" s="3" t="str">
        <f>'Raw Data'!H400</f>
        <v>C1133</v>
      </c>
      <c r="I400" s="3" t="str">
        <f>'Raw Data'!I400</f>
        <v>Returning</v>
      </c>
      <c r="J400" s="3">
        <f>'Raw Data'!J400</f>
        <v>2</v>
      </c>
      <c r="K400" s="5">
        <f>'Raw Data'!K400</f>
        <v>26000</v>
      </c>
      <c r="L400" s="6">
        <f>'Raw Data'!L400</f>
        <v>0.1</v>
      </c>
      <c r="M400" s="5">
        <f>'Raw Data'!M400</f>
        <v>46800</v>
      </c>
      <c r="N400" s="5">
        <f t="shared" si="30"/>
        <v>46800</v>
      </c>
      <c r="O400" s="5">
        <f>'Raw Data'!N400</f>
        <v>15000</v>
      </c>
      <c r="P400" s="5">
        <f>IF(ISBLANK('Raw Data'!N400),AVERAGEIFS('Raw Data'!$N$2:$N$433,'Raw Data'!$G$2:$G$433,G400),'Raw Data'!N400)</f>
        <v>15000</v>
      </c>
      <c r="Q400" s="5">
        <f t="shared" si="31"/>
        <v>30000</v>
      </c>
      <c r="R400" s="5">
        <f t="shared" si="32"/>
        <v>16800</v>
      </c>
      <c r="S400" s="3" t="str">
        <f>'Raw Data'!O400</f>
        <v>No</v>
      </c>
      <c r="T400" s="3" t="str">
        <f>'Raw Data'!P400</f>
        <v>Chinedu</v>
      </c>
      <c r="U400" s="3" t="str">
        <f t="shared" si="33"/>
        <v>May</v>
      </c>
      <c r="V400" s="11">
        <f t="shared" si="34"/>
        <v>0</v>
      </c>
    </row>
    <row r="401" spans="1:22" x14ac:dyDescent="0.25">
      <c r="A401" s="3">
        <f>'Raw Data'!A401</f>
        <v>100400</v>
      </c>
      <c r="B401" s="4">
        <f>'Raw Data'!B401</f>
        <v>46141</v>
      </c>
      <c r="C401" s="3" t="str">
        <f>'Raw Data'!C401</f>
        <v>IB-01</v>
      </c>
      <c r="D401" s="3" t="str">
        <f>PROPER(TRIM('Raw Data'!D401))</f>
        <v>Ibadan</v>
      </c>
      <c r="E401" s="3" t="str">
        <f>'Raw Data'!E401</f>
        <v>WhatsApp</v>
      </c>
      <c r="F401" s="3" t="str">
        <f>IF(PROPER(TRIM('Raw Data'!F401))="Accessory","Accessories",PROPER(TRIM('Raw Data'!F401)))</f>
        <v>Home</v>
      </c>
      <c r="G401" s="3" t="str">
        <f>'Raw Data'!G401</f>
        <v>Standing Fan</v>
      </c>
      <c r="H401" s="3" t="str">
        <f>'Raw Data'!H401</f>
        <v>C1039</v>
      </c>
      <c r="I401" s="3" t="str">
        <f>'Raw Data'!I401</f>
        <v>New</v>
      </c>
      <c r="J401" s="3">
        <f>'Raw Data'!J401</f>
        <v>1</v>
      </c>
      <c r="K401" s="5">
        <f>'Raw Data'!K401</f>
        <v>58000</v>
      </c>
      <c r="L401" s="6">
        <f>'Raw Data'!L401</f>
        <v>0</v>
      </c>
      <c r="M401" s="5">
        <f>'Raw Data'!M401</f>
        <v>58000</v>
      </c>
      <c r="N401" s="5">
        <f t="shared" si="30"/>
        <v>58000</v>
      </c>
      <c r="O401" s="5">
        <f>'Raw Data'!N401</f>
        <v>39000</v>
      </c>
      <c r="P401" s="5">
        <f>IF(ISBLANK('Raw Data'!N401),AVERAGEIFS('Raw Data'!$N$2:$N$433,'Raw Data'!$G$2:$G$433,G401),'Raw Data'!N401)</f>
        <v>39000</v>
      </c>
      <c r="Q401" s="5">
        <f t="shared" si="31"/>
        <v>39000</v>
      </c>
      <c r="R401" s="5">
        <f t="shared" si="32"/>
        <v>19000</v>
      </c>
      <c r="S401" s="3" t="str">
        <f>'Raw Data'!O401</f>
        <v>No</v>
      </c>
      <c r="T401" s="3" t="str">
        <f>'Raw Data'!P401</f>
        <v>Aisha</v>
      </c>
      <c r="U401" s="3" t="str">
        <f t="shared" si="33"/>
        <v>April</v>
      </c>
      <c r="V401" s="11">
        <f t="shared" si="34"/>
        <v>0</v>
      </c>
    </row>
    <row r="402" spans="1:22" x14ac:dyDescent="0.25">
      <c r="A402" s="3">
        <f>'Raw Data'!A402</f>
        <v>100401</v>
      </c>
      <c r="B402" s="4">
        <f>'Raw Data'!B402</f>
        <v>46168</v>
      </c>
      <c r="C402" s="3" t="str">
        <f>'Raw Data'!C402</f>
        <v>IB-01</v>
      </c>
      <c r="D402" s="3" t="str">
        <f>PROPER(TRIM('Raw Data'!D402))</f>
        <v>Ibadan</v>
      </c>
      <c r="E402" s="3" t="str">
        <f>'Raw Data'!E402</f>
        <v>Online</v>
      </c>
      <c r="F402" s="3" t="str">
        <f>IF(PROPER(TRIM('Raw Data'!F402))="Accessory","Accessories",PROPER(TRIM('Raw Data'!F402)))</f>
        <v>Electronics</v>
      </c>
      <c r="G402" s="3" t="str">
        <f>'Raw Data'!G402</f>
        <v>Smartphone</v>
      </c>
      <c r="H402" s="3" t="str">
        <f>'Raw Data'!H402</f>
        <v>C1158</v>
      </c>
      <c r="I402" s="3" t="str">
        <f>'Raw Data'!I402</f>
        <v>Returning</v>
      </c>
      <c r="J402" s="3">
        <f>'Raw Data'!J402</f>
        <v>3</v>
      </c>
      <c r="K402" s="5">
        <f>'Raw Data'!K402</f>
        <v>165000</v>
      </c>
      <c r="L402" s="6">
        <f>'Raw Data'!L402</f>
        <v>0</v>
      </c>
      <c r="M402" s="5">
        <f>'Raw Data'!M402</f>
        <v>495000</v>
      </c>
      <c r="N402" s="5">
        <f t="shared" si="30"/>
        <v>495000</v>
      </c>
      <c r="O402" s="5">
        <f>'Raw Data'!N402</f>
        <v>112000</v>
      </c>
      <c r="P402" s="5">
        <f>IF(ISBLANK('Raw Data'!N402),AVERAGEIFS('Raw Data'!$N$2:$N$433,'Raw Data'!$G$2:$G$433,G402),'Raw Data'!N402)</f>
        <v>112000</v>
      </c>
      <c r="Q402" s="5">
        <f t="shared" si="31"/>
        <v>336000</v>
      </c>
      <c r="R402" s="5">
        <f t="shared" si="32"/>
        <v>159000</v>
      </c>
      <c r="S402" s="3" t="str">
        <f>'Raw Data'!O402</f>
        <v>Yes</v>
      </c>
      <c r="T402" s="3" t="str">
        <f>'Raw Data'!P402</f>
        <v>Fatima</v>
      </c>
      <c r="U402" s="3" t="str">
        <f t="shared" si="33"/>
        <v>May</v>
      </c>
      <c r="V402" s="11">
        <f t="shared" si="34"/>
        <v>1</v>
      </c>
    </row>
    <row r="403" spans="1:22" x14ac:dyDescent="0.25">
      <c r="A403" s="3">
        <f>'Raw Data'!A403</f>
        <v>100402</v>
      </c>
      <c r="B403" s="4">
        <f>'Raw Data'!B403</f>
        <v>46043</v>
      </c>
      <c r="C403" s="3" t="str">
        <f>'Raw Data'!C403</f>
        <v>IB-01</v>
      </c>
      <c r="D403" s="3" t="str">
        <f>PROPER(TRIM('Raw Data'!D403))</f>
        <v>Ibadan</v>
      </c>
      <c r="E403" s="3" t="str">
        <f>'Raw Data'!E403</f>
        <v>WhatsApp</v>
      </c>
      <c r="F403" s="3" t="str">
        <f>IF(PROPER(TRIM('Raw Data'!F403))="Accessory","Accessories",PROPER(TRIM('Raw Data'!F403)))</f>
        <v>Electronics</v>
      </c>
      <c r="G403" s="3" t="str">
        <f>'Raw Data'!G403</f>
        <v>Smartphone</v>
      </c>
      <c r="H403" s="3" t="str">
        <f>'Raw Data'!H403</f>
        <v>C1062</v>
      </c>
      <c r="I403" s="3" t="str">
        <f>'Raw Data'!I403</f>
        <v>Returning</v>
      </c>
      <c r="J403" s="3">
        <f>'Raw Data'!J403</f>
        <v>1</v>
      </c>
      <c r="K403" s="5">
        <f>'Raw Data'!K403</f>
        <v>165000</v>
      </c>
      <c r="L403" s="6">
        <f>'Raw Data'!L403</f>
        <v>0.1</v>
      </c>
      <c r="M403" s="5">
        <f>'Raw Data'!M403</f>
        <v>148500</v>
      </c>
      <c r="N403" s="5">
        <f t="shared" si="30"/>
        <v>148500</v>
      </c>
      <c r="O403" s="5">
        <f>'Raw Data'!N403</f>
        <v>112000</v>
      </c>
      <c r="P403" s="5">
        <f>IF(ISBLANK('Raw Data'!N403),AVERAGEIFS('Raw Data'!$N$2:$N$433,'Raw Data'!$G$2:$G$433,G403),'Raw Data'!N403)</f>
        <v>112000</v>
      </c>
      <c r="Q403" s="5">
        <f t="shared" si="31"/>
        <v>112000</v>
      </c>
      <c r="R403" s="5">
        <f t="shared" si="32"/>
        <v>36500</v>
      </c>
      <c r="S403" s="3" t="str">
        <f>'Raw Data'!O403</f>
        <v>No</v>
      </c>
      <c r="T403" s="3" t="str">
        <f>'Raw Data'!P403</f>
        <v>Aisha</v>
      </c>
      <c r="U403" s="3" t="str">
        <f t="shared" si="33"/>
        <v>January</v>
      </c>
      <c r="V403" s="11">
        <f t="shared" si="34"/>
        <v>0</v>
      </c>
    </row>
    <row r="404" spans="1:22" x14ac:dyDescent="0.25">
      <c r="A404" s="3">
        <f>'Raw Data'!A404</f>
        <v>100403</v>
      </c>
      <c r="B404" s="4">
        <f>'Raw Data'!B404</f>
        <v>46136</v>
      </c>
      <c r="C404" s="3" t="str">
        <f>'Raw Data'!C404</f>
        <v>PH-01</v>
      </c>
      <c r="D404" s="3" t="str">
        <f>PROPER(TRIM('Raw Data'!D404))</f>
        <v>Port Harcourt</v>
      </c>
      <c r="E404" s="3" t="str">
        <f>'Raw Data'!E404</f>
        <v>In-store</v>
      </c>
      <c r="F404" s="3" t="str">
        <f>IF(PROPER(TRIM('Raw Data'!F404))="Accessory","Accessories",PROPER(TRIM('Raw Data'!F404)))</f>
        <v>Home</v>
      </c>
      <c r="G404" s="3" t="str">
        <f>'Raw Data'!G404</f>
        <v>Blender</v>
      </c>
      <c r="H404" s="3" t="str">
        <f>'Raw Data'!H404</f>
        <v>C1149</v>
      </c>
      <c r="I404" s="3" t="str">
        <f>'Raw Data'!I404</f>
        <v>New</v>
      </c>
      <c r="J404" s="3">
        <f>'Raw Data'!J404</f>
        <v>3</v>
      </c>
      <c r="K404" s="5">
        <f>'Raw Data'!K404</f>
        <v>42000</v>
      </c>
      <c r="L404" s="6">
        <f>'Raw Data'!L404</f>
        <v>0.05</v>
      </c>
      <c r="M404" s="5">
        <f>'Raw Data'!M404</f>
        <v>95760</v>
      </c>
      <c r="N404" s="5">
        <f t="shared" si="30"/>
        <v>119700</v>
      </c>
      <c r="O404" s="5">
        <f>'Raw Data'!N404</f>
        <v>28000</v>
      </c>
      <c r="P404" s="5">
        <f>IF(ISBLANK('Raw Data'!N404),AVERAGEIFS('Raw Data'!$N$2:$N$433,'Raw Data'!$G$2:$G$433,G404),'Raw Data'!N404)</f>
        <v>28000</v>
      </c>
      <c r="Q404" s="5">
        <f t="shared" si="31"/>
        <v>84000</v>
      </c>
      <c r="R404" s="5">
        <f t="shared" si="32"/>
        <v>35700</v>
      </c>
      <c r="S404" s="3" t="str">
        <f>'Raw Data'!O404</f>
        <v>No</v>
      </c>
      <c r="T404" s="3" t="str">
        <f>'Raw Data'!P404</f>
        <v>Fatima</v>
      </c>
      <c r="U404" s="3" t="str">
        <f t="shared" si="33"/>
        <v>April</v>
      </c>
      <c r="V404" s="11">
        <f t="shared" si="34"/>
        <v>0</v>
      </c>
    </row>
    <row r="405" spans="1:22" x14ac:dyDescent="0.25">
      <c r="A405" s="3">
        <f>'Raw Data'!A405</f>
        <v>100404</v>
      </c>
      <c r="B405" s="4">
        <f>'Raw Data'!B405</f>
        <v>46164</v>
      </c>
      <c r="C405" s="3" t="str">
        <f>'Raw Data'!C405</f>
        <v>KN-01</v>
      </c>
      <c r="D405" s="3" t="str">
        <f>PROPER(TRIM('Raw Data'!D405))</f>
        <v>Kano</v>
      </c>
      <c r="E405" s="3" t="str">
        <f>'Raw Data'!E405</f>
        <v>Online</v>
      </c>
      <c r="F405" s="3" t="str">
        <f>IF(PROPER(TRIM('Raw Data'!F405))="Accessory","Accessories",PROPER(TRIM('Raw Data'!F405)))</f>
        <v>Home</v>
      </c>
      <c r="G405" s="3" t="str">
        <f>'Raw Data'!G405</f>
        <v>Blender</v>
      </c>
      <c r="H405" s="3" t="str">
        <f>'Raw Data'!H405</f>
        <v>C1123</v>
      </c>
      <c r="I405" s="3" t="str">
        <f>'Raw Data'!I405</f>
        <v>Returning</v>
      </c>
      <c r="J405" s="3">
        <f>'Raw Data'!J405</f>
        <v>1</v>
      </c>
      <c r="K405" s="5">
        <f>'Raw Data'!K405</f>
        <v>42000</v>
      </c>
      <c r="L405" s="6">
        <f>'Raw Data'!L405</f>
        <v>0</v>
      </c>
      <c r="M405" s="5">
        <f>'Raw Data'!M405</f>
        <v>42000</v>
      </c>
      <c r="N405" s="5">
        <f t="shared" si="30"/>
        <v>42000</v>
      </c>
      <c r="O405" s="5">
        <f>'Raw Data'!N405</f>
        <v>28000</v>
      </c>
      <c r="P405" s="5">
        <f>IF(ISBLANK('Raw Data'!N405),AVERAGEIFS('Raw Data'!$N$2:$N$433,'Raw Data'!$G$2:$G$433,G405),'Raw Data'!N405)</f>
        <v>28000</v>
      </c>
      <c r="Q405" s="5">
        <f t="shared" si="31"/>
        <v>28000</v>
      </c>
      <c r="R405" s="5">
        <f t="shared" si="32"/>
        <v>14000</v>
      </c>
      <c r="S405" s="3" t="str">
        <f>'Raw Data'!O405</f>
        <v>No</v>
      </c>
      <c r="T405" s="3" t="str">
        <f>'Raw Data'!P405</f>
        <v>Fatima</v>
      </c>
      <c r="U405" s="3" t="str">
        <f t="shared" si="33"/>
        <v>May</v>
      </c>
      <c r="V405" s="11">
        <f t="shared" si="34"/>
        <v>0</v>
      </c>
    </row>
    <row r="406" spans="1:22" x14ac:dyDescent="0.25">
      <c r="A406" s="3">
        <f>'Raw Data'!A406</f>
        <v>100405</v>
      </c>
      <c r="B406" s="4">
        <f>'Raw Data'!B406</f>
        <v>46152</v>
      </c>
      <c r="C406" s="3" t="str">
        <f>'Raw Data'!C406</f>
        <v>PH-01</v>
      </c>
      <c r="D406" s="3" t="str">
        <f>PROPER(TRIM('Raw Data'!D406))</f>
        <v>Port Harcourt</v>
      </c>
      <c r="E406" s="3" t="str">
        <f>'Raw Data'!E406</f>
        <v>Online</v>
      </c>
      <c r="F406" s="3" t="str">
        <f>IF(PROPER(TRIM('Raw Data'!F406))="Accessory","Accessories",PROPER(TRIM('Raw Data'!F406)))</f>
        <v>Home</v>
      </c>
      <c r="G406" s="3" t="str">
        <f>'Raw Data'!G406</f>
        <v>Blender</v>
      </c>
      <c r="H406" s="3" t="str">
        <f>'Raw Data'!H406</f>
        <v>C1182</v>
      </c>
      <c r="I406" s="3" t="str">
        <f>'Raw Data'!I406</f>
        <v>New</v>
      </c>
      <c r="J406" s="3">
        <f>'Raw Data'!J406</f>
        <v>3</v>
      </c>
      <c r="K406" s="5">
        <f>'Raw Data'!K406</f>
        <v>42000</v>
      </c>
      <c r="L406" s="6">
        <f>'Raw Data'!L406</f>
        <v>0</v>
      </c>
      <c r="M406" s="5">
        <f>'Raw Data'!M406</f>
        <v>126000</v>
      </c>
      <c r="N406" s="5">
        <f t="shared" si="30"/>
        <v>126000</v>
      </c>
      <c r="O406" s="5">
        <f>'Raw Data'!N406</f>
        <v>28000</v>
      </c>
      <c r="P406" s="5">
        <f>IF(ISBLANK('Raw Data'!N406),AVERAGEIFS('Raw Data'!$N$2:$N$433,'Raw Data'!$G$2:$G$433,G406),'Raw Data'!N406)</f>
        <v>28000</v>
      </c>
      <c r="Q406" s="5">
        <f t="shared" si="31"/>
        <v>84000</v>
      </c>
      <c r="R406" s="5">
        <f t="shared" si="32"/>
        <v>42000</v>
      </c>
      <c r="S406" s="3" t="str">
        <f>'Raw Data'!O406</f>
        <v>Yes</v>
      </c>
      <c r="T406" s="3" t="str">
        <f>'Raw Data'!P406</f>
        <v>Grace</v>
      </c>
      <c r="U406" s="3" t="str">
        <f t="shared" si="33"/>
        <v>May</v>
      </c>
      <c r="V406" s="11">
        <f t="shared" si="34"/>
        <v>1</v>
      </c>
    </row>
    <row r="407" spans="1:22" x14ac:dyDescent="0.25">
      <c r="A407" s="3">
        <f>'Raw Data'!A407</f>
        <v>100406</v>
      </c>
      <c r="B407" s="4">
        <f>'Raw Data'!B407</f>
        <v>46214</v>
      </c>
      <c r="C407" s="3" t="str">
        <f>'Raw Data'!C407</f>
        <v>AB-02</v>
      </c>
      <c r="D407" s="3" t="str">
        <f>PROPER(TRIM('Raw Data'!D407))</f>
        <v>Abuja</v>
      </c>
      <c r="E407" s="3" t="str">
        <f>'Raw Data'!E407</f>
        <v>Online</v>
      </c>
      <c r="F407" s="3" t="str">
        <f>IF(PROPER(TRIM('Raw Data'!F407))="Accessory","Accessories",PROPER(TRIM('Raw Data'!F407)))</f>
        <v>Electronics</v>
      </c>
      <c r="G407" s="3" t="str">
        <f>'Raw Data'!G407</f>
        <v>Power Bank</v>
      </c>
      <c r="H407" s="3" t="str">
        <f>'Raw Data'!H407</f>
        <v>C1162</v>
      </c>
      <c r="I407" s="3" t="str">
        <f>'Raw Data'!I407</f>
        <v>New</v>
      </c>
      <c r="J407" s="3">
        <f>'Raw Data'!J407</f>
        <v>1</v>
      </c>
      <c r="K407" s="5">
        <f>'Raw Data'!K407</f>
        <v>26000</v>
      </c>
      <c r="L407" s="6">
        <f>'Raw Data'!L407</f>
        <v>0</v>
      </c>
      <c r="M407" s="5">
        <f>'Raw Data'!M407</f>
        <v>26000</v>
      </c>
      <c r="N407" s="5">
        <f t="shared" si="30"/>
        <v>26000</v>
      </c>
      <c r="O407" s="5">
        <f>'Raw Data'!N407</f>
        <v>15000</v>
      </c>
      <c r="P407" s="5">
        <f>IF(ISBLANK('Raw Data'!N407),AVERAGEIFS('Raw Data'!$N$2:$N$433,'Raw Data'!$G$2:$G$433,G407),'Raw Data'!N407)</f>
        <v>15000</v>
      </c>
      <c r="Q407" s="5">
        <f t="shared" si="31"/>
        <v>15000</v>
      </c>
      <c r="R407" s="5">
        <f t="shared" si="32"/>
        <v>11000</v>
      </c>
      <c r="S407" s="3" t="str">
        <f>'Raw Data'!O407</f>
        <v>No</v>
      </c>
      <c r="T407" s="3" t="str">
        <f>'Raw Data'!P407</f>
        <v>Ibrahim</v>
      </c>
      <c r="U407" s="3" t="str">
        <f t="shared" si="33"/>
        <v>July</v>
      </c>
      <c r="V407" s="11">
        <f t="shared" si="34"/>
        <v>0</v>
      </c>
    </row>
    <row r="408" spans="1:22" x14ac:dyDescent="0.25">
      <c r="A408" s="3">
        <f>'Raw Data'!A408</f>
        <v>100407</v>
      </c>
      <c r="B408" s="4">
        <f>'Raw Data'!B408</f>
        <v>46222</v>
      </c>
      <c r="C408" s="3" t="str">
        <f>'Raw Data'!C408</f>
        <v>LG-02</v>
      </c>
      <c r="D408" s="3" t="str">
        <f>PROPER(TRIM('Raw Data'!D408))</f>
        <v>Lagos</v>
      </c>
      <c r="E408" s="3" t="str">
        <f>'Raw Data'!E408</f>
        <v>In-store</v>
      </c>
      <c r="F408" s="3" t="str">
        <f>IF(PROPER(TRIM('Raw Data'!F408))="Accessory","Accessories",PROPER(TRIM('Raw Data'!F408)))</f>
        <v>Electronics</v>
      </c>
      <c r="G408" s="3" t="str">
        <f>'Raw Data'!G408</f>
        <v>Earbuds</v>
      </c>
      <c r="H408" s="3" t="str">
        <f>'Raw Data'!H408</f>
        <v>C1116</v>
      </c>
      <c r="I408" s="3" t="str">
        <f>'Raw Data'!I408</f>
        <v>Returning</v>
      </c>
      <c r="J408" s="3">
        <f>'Raw Data'!J408</f>
        <v>2</v>
      </c>
      <c r="K408" s="5">
        <f>'Raw Data'!K408</f>
        <v>32000</v>
      </c>
      <c r="L408" s="6">
        <f>'Raw Data'!L408</f>
        <v>0.1</v>
      </c>
      <c r="M408" s="5">
        <f>'Raw Data'!M408</f>
        <v>57600</v>
      </c>
      <c r="N408" s="5">
        <f t="shared" si="30"/>
        <v>57600</v>
      </c>
      <c r="O408" s="5">
        <f>'Raw Data'!N408</f>
        <v>19000</v>
      </c>
      <c r="P408" s="5">
        <f>IF(ISBLANK('Raw Data'!N408),AVERAGEIFS('Raw Data'!$N$2:$N$433,'Raw Data'!$G$2:$G$433,G408),'Raw Data'!N408)</f>
        <v>19000</v>
      </c>
      <c r="Q408" s="5">
        <f t="shared" si="31"/>
        <v>38000</v>
      </c>
      <c r="R408" s="5">
        <f t="shared" si="32"/>
        <v>19600</v>
      </c>
      <c r="S408" s="3" t="str">
        <f>'Raw Data'!O408</f>
        <v>No</v>
      </c>
      <c r="T408" s="3" t="str">
        <f>'Raw Data'!P408</f>
        <v>Kemi</v>
      </c>
      <c r="U408" s="3" t="str">
        <f t="shared" si="33"/>
        <v>July</v>
      </c>
      <c r="V408" s="11">
        <f t="shared" si="34"/>
        <v>0</v>
      </c>
    </row>
    <row r="409" spans="1:22" x14ac:dyDescent="0.25">
      <c r="A409" s="3">
        <f>'Raw Data'!A409</f>
        <v>100408</v>
      </c>
      <c r="B409" s="4">
        <f>'Raw Data'!B409</f>
        <v>46139</v>
      </c>
      <c r="C409" s="3" t="str">
        <f>'Raw Data'!C409</f>
        <v>KN-01</v>
      </c>
      <c r="D409" s="3" t="str">
        <f>PROPER(TRIM('Raw Data'!D409))</f>
        <v>Kano</v>
      </c>
      <c r="E409" s="3" t="str">
        <f>'Raw Data'!E409</f>
        <v>Online</v>
      </c>
      <c r="F409" s="3" t="str">
        <f>IF(PROPER(TRIM('Raw Data'!F409))="Accessory","Accessories",PROPER(TRIM('Raw Data'!F409)))</f>
        <v>Electronics</v>
      </c>
      <c r="G409" s="3" t="str">
        <f>'Raw Data'!G409</f>
        <v>Smartphone</v>
      </c>
      <c r="H409" s="3" t="str">
        <f>'Raw Data'!H409</f>
        <v>C1001</v>
      </c>
      <c r="I409" s="3" t="str">
        <f>'Raw Data'!I409</f>
        <v>Returning</v>
      </c>
      <c r="J409" s="3">
        <f>'Raw Data'!J409</f>
        <v>1</v>
      </c>
      <c r="K409" s="5">
        <f>'Raw Data'!K409</f>
        <v>165000</v>
      </c>
      <c r="L409" s="6">
        <f>'Raw Data'!L409</f>
        <v>0.15</v>
      </c>
      <c r="M409" s="5">
        <f>'Raw Data'!M409</f>
        <v>140250</v>
      </c>
      <c r="N409" s="5">
        <f t="shared" si="30"/>
        <v>140250</v>
      </c>
      <c r="O409" s="5">
        <f>'Raw Data'!N409</f>
        <v>112000</v>
      </c>
      <c r="P409" s="5">
        <f>IF(ISBLANK('Raw Data'!N409),AVERAGEIFS('Raw Data'!$N$2:$N$433,'Raw Data'!$G$2:$G$433,G409),'Raw Data'!N409)</f>
        <v>112000</v>
      </c>
      <c r="Q409" s="5">
        <f t="shared" si="31"/>
        <v>112000</v>
      </c>
      <c r="R409" s="5">
        <f t="shared" si="32"/>
        <v>28250</v>
      </c>
      <c r="S409" s="3" t="str">
        <f>'Raw Data'!O409</f>
        <v>No</v>
      </c>
      <c r="T409" s="3" t="str">
        <f>'Raw Data'!P409</f>
        <v>Kemi</v>
      </c>
      <c r="U409" s="3" t="str">
        <f t="shared" si="33"/>
        <v>April</v>
      </c>
      <c r="V409" s="11">
        <f t="shared" si="34"/>
        <v>0</v>
      </c>
    </row>
    <row r="410" spans="1:22" x14ac:dyDescent="0.25">
      <c r="A410" s="3">
        <f>'Raw Data'!A410</f>
        <v>100409</v>
      </c>
      <c r="B410" s="4">
        <f>'Raw Data'!B410</f>
        <v>46180</v>
      </c>
      <c r="C410" s="3" t="str">
        <f>'Raw Data'!C410</f>
        <v>KN-01</v>
      </c>
      <c r="D410" s="3" t="str">
        <f>PROPER(TRIM('Raw Data'!D410))</f>
        <v>Kano</v>
      </c>
      <c r="E410" s="3" t="str">
        <f>'Raw Data'!E410</f>
        <v>Online</v>
      </c>
      <c r="F410" s="3" t="str">
        <f>IF(PROPER(TRIM('Raw Data'!F410))="Accessory","Accessories",PROPER(TRIM('Raw Data'!F410)))</f>
        <v>Accessories</v>
      </c>
      <c r="G410" s="3" t="str">
        <f>'Raw Data'!G410</f>
        <v>USB Cable</v>
      </c>
      <c r="H410" s="3" t="str">
        <f>'Raw Data'!H410</f>
        <v>C1081</v>
      </c>
      <c r="I410" s="3" t="str">
        <f>'Raw Data'!I410</f>
        <v>Returning</v>
      </c>
      <c r="J410" s="3">
        <f>'Raw Data'!J410</f>
        <v>2</v>
      </c>
      <c r="K410" s="5">
        <f>'Raw Data'!K410</f>
        <v>6500</v>
      </c>
      <c r="L410" s="6">
        <f>'Raw Data'!L410</f>
        <v>0.1</v>
      </c>
      <c r="M410" s="5">
        <f>'Raw Data'!M410</f>
        <v>11700</v>
      </c>
      <c r="N410" s="5">
        <f t="shared" si="30"/>
        <v>11700</v>
      </c>
      <c r="O410" s="3">
        <f>'Raw Data'!N410</f>
        <v>0</v>
      </c>
      <c r="P410" s="5">
        <f>IF(ISBLANK('Raw Data'!N410),AVERAGEIFS('Raw Data'!$N$2:$N$433,'Raw Data'!$G$2:$G$433,G410),'Raw Data'!N410)</f>
        <v>2200</v>
      </c>
      <c r="Q410" s="5">
        <f t="shared" si="31"/>
        <v>4400</v>
      </c>
      <c r="R410" s="5">
        <f t="shared" si="32"/>
        <v>7300</v>
      </c>
      <c r="S410" s="3" t="str">
        <f>'Raw Data'!O410</f>
        <v>No</v>
      </c>
      <c r="T410" s="3" t="str">
        <f>'Raw Data'!P410</f>
        <v>Bola</v>
      </c>
      <c r="U410" s="3" t="str">
        <f t="shared" si="33"/>
        <v>June</v>
      </c>
      <c r="V410" s="11">
        <f t="shared" si="34"/>
        <v>0</v>
      </c>
    </row>
    <row r="411" spans="1:22" x14ac:dyDescent="0.25">
      <c r="A411" s="3">
        <f>'Raw Data'!A411</f>
        <v>100410</v>
      </c>
      <c r="B411" s="4">
        <f>'Raw Data'!B411</f>
        <v>46137</v>
      </c>
      <c r="C411" s="3" t="str">
        <f>'Raw Data'!C411</f>
        <v>PH-01</v>
      </c>
      <c r="D411" s="3" t="str">
        <f>PROPER(TRIM('Raw Data'!D411))</f>
        <v>Port Harcourt</v>
      </c>
      <c r="E411" s="3" t="str">
        <f>'Raw Data'!E411</f>
        <v>WhatsApp</v>
      </c>
      <c r="F411" s="3" t="str">
        <f>IF(PROPER(TRIM('Raw Data'!F411))="Accessory","Accessories",PROPER(TRIM('Raw Data'!F411)))</f>
        <v>Electronics</v>
      </c>
      <c r="G411" s="3" t="str">
        <f>'Raw Data'!G411</f>
        <v>Earbuds</v>
      </c>
      <c r="H411" s="3" t="str">
        <f>'Raw Data'!H411</f>
        <v>C1104</v>
      </c>
      <c r="I411" s="3" t="str">
        <f>'Raw Data'!I411</f>
        <v>Returning</v>
      </c>
      <c r="J411" s="3">
        <f>'Raw Data'!J411</f>
        <v>1</v>
      </c>
      <c r="K411" s="5">
        <f>'Raw Data'!K411</f>
        <v>32000</v>
      </c>
      <c r="L411" s="6">
        <f>'Raw Data'!L411</f>
        <v>0.15</v>
      </c>
      <c r="M411" s="5">
        <f>'Raw Data'!M411</f>
        <v>27200</v>
      </c>
      <c r="N411" s="5">
        <f t="shared" si="30"/>
        <v>27200</v>
      </c>
      <c r="O411" s="5">
        <f>'Raw Data'!N411</f>
        <v>19000</v>
      </c>
      <c r="P411" s="5">
        <f>IF(ISBLANK('Raw Data'!N411),AVERAGEIFS('Raw Data'!$N$2:$N$433,'Raw Data'!$G$2:$G$433,G411),'Raw Data'!N411)</f>
        <v>19000</v>
      </c>
      <c r="Q411" s="5">
        <f t="shared" si="31"/>
        <v>19000</v>
      </c>
      <c r="R411" s="5">
        <f t="shared" si="32"/>
        <v>8200</v>
      </c>
      <c r="S411" s="3" t="str">
        <f>'Raw Data'!O411</f>
        <v>No</v>
      </c>
      <c r="T411" s="3" t="str">
        <f>'Raw Data'!P411</f>
        <v>Grace</v>
      </c>
      <c r="U411" s="3" t="str">
        <f t="shared" si="33"/>
        <v>April</v>
      </c>
      <c r="V411" s="11">
        <f t="shared" si="34"/>
        <v>0</v>
      </c>
    </row>
    <row r="412" spans="1:22" x14ac:dyDescent="0.25">
      <c r="A412" s="3">
        <f>'Raw Data'!A412</f>
        <v>100411</v>
      </c>
      <c r="B412" s="4">
        <f>'Raw Data'!B412</f>
        <v>46080</v>
      </c>
      <c r="C412" s="3" t="str">
        <f>'Raw Data'!C412</f>
        <v>AB-01</v>
      </c>
      <c r="D412" s="3" t="str">
        <f>PROPER(TRIM('Raw Data'!D412))</f>
        <v>Abuja</v>
      </c>
      <c r="E412" s="3" t="str">
        <f>'Raw Data'!E412</f>
        <v>Online</v>
      </c>
      <c r="F412" s="3" t="str">
        <f>IF(PROPER(TRIM('Raw Data'!F412))="Accessory","Accessories",PROPER(TRIM('Raw Data'!F412)))</f>
        <v>Home</v>
      </c>
      <c r="G412" s="3" t="str">
        <f>'Raw Data'!G412</f>
        <v>Standing Fan</v>
      </c>
      <c r="H412" s="3" t="str">
        <f>'Raw Data'!H412</f>
        <v>C1154</v>
      </c>
      <c r="I412" s="3" t="str">
        <f>'Raw Data'!I412</f>
        <v>Returning</v>
      </c>
      <c r="J412" s="3">
        <f>'Raw Data'!J412</f>
        <v>2</v>
      </c>
      <c r="K412" s="5">
        <f>'Raw Data'!K412</f>
        <v>58000</v>
      </c>
      <c r="L412" s="6">
        <f>'Raw Data'!L412</f>
        <v>0.2</v>
      </c>
      <c r="M412" s="5">
        <f>'Raw Data'!M412</f>
        <v>92800</v>
      </c>
      <c r="N412" s="5">
        <f t="shared" si="30"/>
        <v>92800</v>
      </c>
      <c r="O412" s="5">
        <f>'Raw Data'!N412</f>
        <v>39000</v>
      </c>
      <c r="P412" s="5">
        <f>IF(ISBLANK('Raw Data'!N412),AVERAGEIFS('Raw Data'!$N$2:$N$433,'Raw Data'!$G$2:$G$433,G412),'Raw Data'!N412)</f>
        <v>39000</v>
      </c>
      <c r="Q412" s="5">
        <f t="shared" si="31"/>
        <v>78000</v>
      </c>
      <c r="R412" s="5">
        <f t="shared" si="32"/>
        <v>14800</v>
      </c>
      <c r="S412" s="3" t="str">
        <f>'Raw Data'!O412</f>
        <v>Yes</v>
      </c>
      <c r="T412" s="3" t="str">
        <f>'Raw Data'!P412</f>
        <v>Kemi</v>
      </c>
      <c r="U412" s="3" t="str">
        <f t="shared" si="33"/>
        <v>February</v>
      </c>
      <c r="V412" s="11">
        <f t="shared" si="34"/>
        <v>1</v>
      </c>
    </row>
    <row r="413" spans="1:22" x14ac:dyDescent="0.25">
      <c r="A413" s="3">
        <f>'Raw Data'!A413</f>
        <v>100412</v>
      </c>
      <c r="B413" s="4">
        <f>'Raw Data'!B413</f>
        <v>46194</v>
      </c>
      <c r="C413" s="3" t="str">
        <f>'Raw Data'!C413</f>
        <v>IB-01</v>
      </c>
      <c r="D413" s="3" t="str">
        <f>PROPER(TRIM('Raw Data'!D413))</f>
        <v>Ibadan</v>
      </c>
      <c r="E413" s="3" t="str">
        <f>'Raw Data'!E413</f>
        <v>Online</v>
      </c>
      <c r="F413" s="3" t="str">
        <f>IF(PROPER(TRIM('Raw Data'!F413))="Accessory","Accessories",PROPER(TRIM('Raw Data'!F413)))</f>
        <v>Electronics</v>
      </c>
      <c r="G413" s="3" t="str">
        <f>'Raw Data'!G413</f>
        <v>Smartphone</v>
      </c>
      <c r="H413" s="3" t="str">
        <f>'Raw Data'!H413</f>
        <v>C1164</v>
      </c>
      <c r="I413" s="3" t="str">
        <f>'Raw Data'!I413</f>
        <v>Returning</v>
      </c>
      <c r="J413" s="3">
        <f>'Raw Data'!J413</f>
        <v>5</v>
      </c>
      <c r="K413" s="5">
        <f>'Raw Data'!K413</f>
        <v>165000</v>
      </c>
      <c r="L413" s="6">
        <f>'Raw Data'!L413</f>
        <v>0.1</v>
      </c>
      <c r="M413" s="5">
        <f>'Raw Data'!M413</f>
        <v>742500</v>
      </c>
      <c r="N413" s="5">
        <f t="shared" si="30"/>
        <v>742500</v>
      </c>
      <c r="O413" s="5">
        <f>'Raw Data'!N413</f>
        <v>112000</v>
      </c>
      <c r="P413" s="5">
        <f>IF(ISBLANK('Raw Data'!N413),AVERAGEIFS('Raw Data'!$N$2:$N$433,'Raw Data'!$G$2:$G$433,G413),'Raw Data'!N413)</f>
        <v>112000</v>
      </c>
      <c r="Q413" s="5">
        <f t="shared" si="31"/>
        <v>560000</v>
      </c>
      <c r="R413" s="5">
        <f t="shared" si="32"/>
        <v>182500</v>
      </c>
      <c r="S413" s="3" t="str">
        <f>'Raw Data'!O413</f>
        <v>No</v>
      </c>
      <c r="T413" s="3" t="str">
        <f>'Raw Data'!P413</f>
        <v>Aisha</v>
      </c>
      <c r="U413" s="3" t="str">
        <f t="shared" si="33"/>
        <v>June</v>
      </c>
      <c r="V413" s="11">
        <f t="shared" si="34"/>
        <v>0</v>
      </c>
    </row>
    <row r="414" spans="1:22" x14ac:dyDescent="0.25">
      <c r="A414" s="3">
        <f>'Raw Data'!A414</f>
        <v>100413</v>
      </c>
      <c r="B414" s="4">
        <f>'Raw Data'!B414</f>
        <v>46177</v>
      </c>
      <c r="C414" s="3" t="str">
        <f>'Raw Data'!C414</f>
        <v>PH-01</v>
      </c>
      <c r="D414" s="3" t="str">
        <f>PROPER(TRIM('Raw Data'!D414))</f>
        <v>Port Harcourt</v>
      </c>
      <c r="E414" s="3" t="str">
        <f>'Raw Data'!E414</f>
        <v>In-store</v>
      </c>
      <c r="F414" s="3" t="str">
        <f>IF(PROPER(TRIM('Raw Data'!F414))="Accessory","Accessories",PROPER(TRIM('Raw Data'!F414)))</f>
        <v>Home</v>
      </c>
      <c r="G414" s="3" t="str">
        <f>'Raw Data'!G414</f>
        <v>Standing Fan</v>
      </c>
      <c r="H414" s="3" t="str">
        <f>'Raw Data'!H414</f>
        <v>C1113</v>
      </c>
      <c r="I414" s="3" t="str">
        <f>'Raw Data'!I414</f>
        <v>New</v>
      </c>
      <c r="J414" s="3">
        <f>'Raw Data'!J414</f>
        <v>2</v>
      </c>
      <c r="K414" s="5">
        <f>'Raw Data'!K414</f>
        <v>58000</v>
      </c>
      <c r="L414" s="6">
        <f>'Raw Data'!L414</f>
        <v>0</v>
      </c>
      <c r="M414" s="5">
        <f>'Raw Data'!M414</f>
        <v>116000</v>
      </c>
      <c r="N414" s="5">
        <f t="shared" si="30"/>
        <v>116000</v>
      </c>
      <c r="O414" s="5">
        <f>'Raw Data'!N414</f>
        <v>39000</v>
      </c>
      <c r="P414" s="5">
        <f>IF(ISBLANK('Raw Data'!N414),AVERAGEIFS('Raw Data'!$N$2:$N$433,'Raw Data'!$G$2:$G$433,G414),'Raw Data'!N414)</f>
        <v>39000</v>
      </c>
      <c r="Q414" s="5">
        <f t="shared" si="31"/>
        <v>78000</v>
      </c>
      <c r="R414" s="5">
        <f t="shared" si="32"/>
        <v>38000</v>
      </c>
      <c r="S414" s="3" t="str">
        <f>'Raw Data'!O414</f>
        <v>No</v>
      </c>
      <c r="T414" s="3" t="str">
        <f>'Raw Data'!P414</f>
        <v>Chinedu</v>
      </c>
      <c r="U414" s="3" t="str">
        <f t="shared" si="33"/>
        <v>June</v>
      </c>
      <c r="V414" s="11">
        <f t="shared" si="34"/>
        <v>0</v>
      </c>
    </row>
    <row r="415" spans="1:22" x14ac:dyDescent="0.25">
      <c r="A415" s="3">
        <f>'Raw Data'!A415</f>
        <v>100414</v>
      </c>
      <c r="B415" s="4">
        <f>'Raw Data'!B415</f>
        <v>46096</v>
      </c>
      <c r="C415" s="3" t="str">
        <f>'Raw Data'!C415</f>
        <v>IB-01</v>
      </c>
      <c r="D415" s="3" t="str">
        <f>PROPER(TRIM('Raw Data'!D415))</f>
        <v>Ibadan</v>
      </c>
      <c r="E415" s="3" t="str">
        <f>'Raw Data'!E415</f>
        <v>In-store</v>
      </c>
      <c r="F415" s="3" t="str">
        <f>IF(PROPER(TRIM('Raw Data'!F415))="Accessory","Accessories",PROPER(TRIM('Raw Data'!F415)))</f>
        <v>Home</v>
      </c>
      <c r="G415" s="3" t="str">
        <f>'Raw Data'!G415</f>
        <v>Blender</v>
      </c>
      <c r="H415" s="3" t="str">
        <f>'Raw Data'!H415</f>
        <v>C1061</v>
      </c>
      <c r="I415" s="3" t="str">
        <f>'Raw Data'!I415</f>
        <v>Returning</v>
      </c>
      <c r="J415" s="3">
        <f>'Raw Data'!J415</f>
        <v>1</v>
      </c>
      <c r="K415" s="5">
        <f>'Raw Data'!K415</f>
        <v>42000</v>
      </c>
      <c r="L415" s="6">
        <f>'Raw Data'!L415</f>
        <v>0.1</v>
      </c>
      <c r="M415" s="5">
        <f>'Raw Data'!M415</f>
        <v>37800</v>
      </c>
      <c r="N415" s="5">
        <f t="shared" si="30"/>
        <v>37800</v>
      </c>
      <c r="O415" s="5">
        <f>'Raw Data'!N415</f>
        <v>28000</v>
      </c>
      <c r="P415" s="5">
        <f>IF(ISBLANK('Raw Data'!N415),AVERAGEIFS('Raw Data'!$N$2:$N$433,'Raw Data'!$G$2:$G$433,G415),'Raw Data'!N415)</f>
        <v>28000</v>
      </c>
      <c r="Q415" s="5">
        <f t="shared" si="31"/>
        <v>28000</v>
      </c>
      <c r="R415" s="5">
        <f t="shared" si="32"/>
        <v>9800</v>
      </c>
      <c r="S415" s="3" t="str">
        <f>'Raw Data'!O415</f>
        <v>No</v>
      </c>
      <c r="T415" s="3" t="str">
        <f>'Raw Data'!P415</f>
        <v>Aisha</v>
      </c>
      <c r="U415" s="3" t="str">
        <f t="shared" si="33"/>
        <v>March</v>
      </c>
      <c r="V415" s="11">
        <f t="shared" si="34"/>
        <v>0</v>
      </c>
    </row>
    <row r="416" spans="1:22" x14ac:dyDescent="0.25">
      <c r="A416" s="3">
        <f>'Raw Data'!A416</f>
        <v>100415</v>
      </c>
      <c r="B416" s="4">
        <f>'Raw Data'!B416</f>
        <v>46119</v>
      </c>
      <c r="C416" s="3" t="str">
        <f>'Raw Data'!C416</f>
        <v>LG-01</v>
      </c>
      <c r="D416" s="3" t="str">
        <f>PROPER(TRIM('Raw Data'!D416))</f>
        <v>Lagos</v>
      </c>
      <c r="E416" s="3" t="str">
        <f>'Raw Data'!E416</f>
        <v>In-store</v>
      </c>
      <c r="F416" s="3" t="str">
        <f>IF(PROPER(TRIM('Raw Data'!F416))="Accessory","Accessories",PROPER(TRIM('Raw Data'!F416)))</f>
        <v>Accessories</v>
      </c>
      <c r="G416" s="3" t="str">
        <f>'Raw Data'!G416</f>
        <v>USB Cable</v>
      </c>
      <c r="H416" s="3" t="str">
        <f>'Raw Data'!H416</f>
        <v>C1018</v>
      </c>
      <c r="I416" s="3" t="str">
        <f>'Raw Data'!I416</f>
        <v>Returning</v>
      </c>
      <c r="J416" s="3">
        <f>'Raw Data'!J416</f>
        <v>2</v>
      </c>
      <c r="K416" s="5">
        <f>'Raw Data'!K416</f>
        <v>6500</v>
      </c>
      <c r="L416" s="6">
        <f>'Raw Data'!L416</f>
        <v>0.05</v>
      </c>
      <c r="M416" s="5">
        <f>'Raw Data'!M416</f>
        <v>12350</v>
      </c>
      <c r="N416" s="5">
        <f t="shared" si="30"/>
        <v>12350</v>
      </c>
      <c r="O416" s="5">
        <f>'Raw Data'!N416</f>
        <v>2200</v>
      </c>
      <c r="P416" s="5">
        <f>IF(ISBLANK('Raw Data'!N416),AVERAGEIFS('Raw Data'!$N$2:$N$433,'Raw Data'!$G$2:$G$433,G416),'Raw Data'!N416)</f>
        <v>2200</v>
      </c>
      <c r="Q416" s="5">
        <f t="shared" si="31"/>
        <v>4400</v>
      </c>
      <c r="R416" s="5">
        <f t="shared" si="32"/>
        <v>7950</v>
      </c>
      <c r="S416" s="3" t="str">
        <f>'Raw Data'!O416</f>
        <v>No</v>
      </c>
      <c r="T416" s="3" t="str">
        <f>'Raw Data'!P416</f>
        <v>Bola</v>
      </c>
      <c r="U416" s="3" t="str">
        <f t="shared" si="33"/>
        <v>April</v>
      </c>
      <c r="V416" s="11">
        <f t="shared" si="34"/>
        <v>0</v>
      </c>
    </row>
    <row r="417" spans="1:22" x14ac:dyDescent="0.25">
      <c r="A417" s="3">
        <f>'Raw Data'!A417</f>
        <v>100416</v>
      </c>
      <c r="B417" s="4">
        <f>'Raw Data'!B417</f>
        <v>46028</v>
      </c>
      <c r="C417" s="3" t="str">
        <f>'Raw Data'!C417</f>
        <v>PH-01</v>
      </c>
      <c r="D417" s="3" t="str">
        <f>PROPER(TRIM('Raw Data'!D417))</f>
        <v>Port Harcourt</v>
      </c>
      <c r="E417" s="3" t="str">
        <f>'Raw Data'!E417</f>
        <v>WhatsApp</v>
      </c>
      <c r="F417" s="3" t="str">
        <f>IF(PROPER(TRIM('Raw Data'!F417))="Accessory","Accessories",PROPER(TRIM('Raw Data'!F417)))</f>
        <v>Electronics</v>
      </c>
      <c r="G417" s="3" t="str">
        <f>'Raw Data'!G417</f>
        <v>Power Bank</v>
      </c>
      <c r="H417" s="3" t="str">
        <f>'Raw Data'!H417</f>
        <v>C1012</v>
      </c>
      <c r="I417" s="3" t="str">
        <f>'Raw Data'!I417</f>
        <v>New</v>
      </c>
      <c r="J417" s="3">
        <f>'Raw Data'!J417</f>
        <v>4</v>
      </c>
      <c r="K417" s="5">
        <f>'Raw Data'!K417</f>
        <v>26000</v>
      </c>
      <c r="L417" s="6">
        <f>'Raw Data'!L417</f>
        <v>0</v>
      </c>
      <c r="M417" s="5">
        <f>'Raw Data'!M417</f>
        <v>104000</v>
      </c>
      <c r="N417" s="5">
        <f t="shared" si="30"/>
        <v>104000</v>
      </c>
      <c r="O417" s="5">
        <f>'Raw Data'!N417</f>
        <v>15000</v>
      </c>
      <c r="P417" s="5">
        <f>IF(ISBLANK('Raw Data'!N417),AVERAGEIFS('Raw Data'!$N$2:$N$433,'Raw Data'!$G$2:$G$433,G417),'Raw Data'!N417)</f>
        <v>15000</v>
      </c>
      <c r="Q417" s="5">
        <f t="shared" si="31"/>
        <v>60000</v>
      </c>
      <c r="R417" s="5">
        <f t="shared" si="32"/>
        <v>44000</v>
      </c>
      <c r="S417" s="3" t="str">
        <f>'Raw Data'!O417</f>
        <v>Yes</v>
      </c>
      <c r="T417" s="3" t="str">
        <f>'Raw Data'!P417</f>
        <v>David</v>
      </c>
      <c r="U417" s="3" t="str">
        <f t="shared" si="33"/>
        <v>January</v>
      </c>
      <c r="V417" s="11">
        <f t="shared" si="34"/>
        <v>1</v>
      </c>
    </row>
    <row r="418" spans="1:22" x14ac:dyDescent="0.25">
      <c r="A418" s="3">
        <f>'Raw Data'!A418</f>
        <v>100417</v>
      </c>
      <c r="B418" s="4">
        <f>'Raw Data'!B418</f>
        <v>46066</v>
      </c>
      <c r="C418" s="3" t="str">
        <f>'Raw Data'!C418</f>
        <v>PH-01</v>
      </c>
      <c r="D418" s="3" t="str">
        <f>PROPER(TRIM('Raw Data'!D418))</f>
        <v>Port Harcourt</v>
      </c>
      <c r="E418" s="3" t="str">
        <f>'Raw Data'!E418</f>
        <v>Online</v>
      </c>
      <c r="F418" s="3" t="str">
        <f>IF(PROPER(TRIM('Raw Data'!F418))="Accessory","Accessories",PROPER(TRIM('Raw Data'!F418)))</f>
        <v>Electronics</v>
      </c>
      <c r="G418" s="3" t="str">
        <f>'Raw Data'!G418</f>
        <v>Smartphone</v>
      </c>
      <c r="H418" s="3" t="str">
        <f>'Raw Data'!H418</f>
        <v>C1027</v>
      </c>
      <c r="I418" s="3" t="str">
        <f>'Raw Data'!I418</f>
        <v>Returning</v>
      </c>
      <c r="J418" s="3">
        <f>'Raw Data'!J418</f>
        <v>4</v>
      </c>
      <c r="K418" s="5">
        <f>'Raw Data'!K418</f>
        <v>165000</v>
      </c>
      <c r="L418" s="6">
        <f>'Raw Data'!L418</f>
        <v>0.1</v>
      </c>
      <c r="M418" s="5">
        <f>'Raw Data'!M418</f>
        <v>594000</v>
      </c>
      <c r="N418" s="5">
        <f t="shared" si="30"/>
        <v>594000</v>
      </c>
      <c r="O418" s="5">
        <f>'Raw Data'!N418</f>
        <v>112000</v>
      </c>
      <c r="P418" s="5">
        <f>IF(ISBLANK('Raw Data'!N418),AVERAGEIFS('Raw Data'!$N$2:$N$433,'Raw Data'!$G$2:$G$433,G418),'Raw Data'!N418)</f>
        <v>112000</v>
      </c>
      <c r="Q418" s="5">
        <f t="shared" si="31"/>
        <v>448000</v>
      </c>
      <c r="R418" s="5">
        <f t="shared" si="32"/>
        <v>146000</v>
      </c>
      <c r="S418" s="3" t="str">
        <f>'Raw Data'!O418</f>
        <v>No</v>
      </c>
      <c r="T418" s="3" t="str">
        <f>'Raw Data'!P418</f>
        <v>Bola</v>
      </c>
      <c r="U418" s="3" t="str">
        <f t="shared" si="33"/>
        <v>February</v>
      </c>
      <c r="V418" s="11">
        <f t="shared" si="34"/>
        <v>0</v>
      </c>
    </row>
    <row r="419" spans="1:22" x14ac:dyDescent="0.25">
      <c r="A419" s="3">
        <f>'Raw Data'!A419</f>
        <v>100418</v>
      </c>
      <c r="B419" s="4">
        <f>'Raw Data'!B419</f>
        <v>46214</v>
      </c>
      <c r="C419" s="3" t="str">
        <f>'Raw Data'!C419</f>
        <v>PH-01</v>
      </c>
      <c r="D419" s="3" t="str">
        <f>PROPER(TRIM('Raw Data'!D419))</f>
        <v>Port Harcourt</v>
      </c>
      <c r="E419" s="3" t="str">
        <f>'Raw Data'!E419</f>
        <v>In-store</v>
      </c>
      <c r="F419" s="3" t="str">
        <f>IF(PROPER(TRIM('Raw Data'!F419))="Accessory","Accessories",PROPER(TRIM('Raw Data'!F419)))</f>
        <v>Electronics</v>
      </c>
      <c r="G419" s="3" t="str">
        <f>'Raw Data'!G419</f>
        <v>Power Bank</v>
      </c>
      <c r="H419" s="3" t="str">
        <f>'Raw Data'!H419</f>
        <v>C1088</v>
      </c>
      <c r="I419" s="3" t="str">
        <f>'Raw Data'!I419</f>
        <v>Returning</v>
      </c>
      <c r="J419" s="3">
        <f>'Raw Data'!J419</f>
        <v>3</v>
      </c>
      <c r="K419" s="5">
        <f>'Raw Data'!K419</f>
        <v>26000</v>
      </c>
      <c r="L419" s="6">
        <f>'Raw Data'!L419</f>
        <v>0</v>
      </c>
      <c r="M419" s="5">
        <f>'Raw Data'!M419</f>
        <v>78000</v>
      </c>
      <c r="N419" s="5">
        <f t="shared" si="30"/>
        <v>78000</v>
      </c>
      <c r="O419" s="5">
        <f>'Raw Data'!N419</f>
        <v>15000</v>
      </c>
      <c r="P419" s="5">
        <f>IF(ISBLANK('Raw Data'!N419),AVERAGEIFS('Raw Data'!$N$2:$N$433,'Raw Data'!$G$2:$G$433,G419),'Raw Data'!N419)</f>
        <v>15000</v>
      </c>
      <c r="Q419" s="5">
        <f t="shared" si="31"/>
        <v>45000</v>
      </c>
      <c r="R419" s="5">
        <f t="shared" si="32"/>
        <v>33000</v>
      </c>
      <c r="S419" s="3" t="str">
        <f>'Raw Data'!O419</f>
        <v>No</v>
      </c>
      <c r="T419" s="3" t="str">
        <f>'Raw Data'!P419</f>
        <v>Chinedu</v>
      </c>
      <c r="U419" s="3" t="str">
        <f t="shared" si="33"/>
        <v>July</v>
      </c>
      <c r="V419" s="11">
        <f t="shared" si="34"/>
        <v>0</v>
      </c>
    </row>
    <row r="420" spans="1:22" x14ac:dyDescent="0.25">
      <c r="A420" s="3">
        <f>'Raw Data'!A420</f>
        <v>100419</v>
      </c>
      <c r="B420" s="4">
        <f>'Raw Data'!B420</f>
        <v>46256</v>
      </c>
      <c r="C420" s="3" t="str">
        <f>'Raw Data'!C420</f>
        <v>PH-01</v>
      </c>
      <c r="D420" s="3" t="str">
        <f>PROPER(TRIM('Raw Data'!D420))</f>
        <v>Port Harcourt</v>
      </c>
      <c r="E420" s="3" t="str">
        <f>'Raw Data'!E420</f>
        <v>In-store</v>
      </c>
      <c r="F420" s="3" t="str">
        <f>IF(PROPER(TRIM('Raw Data'!F420))="Accessory","Accessories",PROPER(TRIM('Raw Data'!F420)))</f>
        <v>Home</v>
      </c>
      <c r="G420" s="3" t="str">
        <f>'Raw Data'!G420</f>
        <v>Standing Fan</v>
      </c>
      <c r="H420" s="3" t="str">
        <f>'Raw Data'!H420</f>
        <v>C1006</v>
      </c>
      <c r="I420" s="3" t="str">
        <f>'Raw Data'!I420</f>
        <v>Returning</v>
      </c>
      <c r="J420" s="3">
        <f>'Raw Data'!J420</f>
        <v>4</v>
      </c>
      <c r="K420" s="5">
        <f>'Raw Data'!K420</f>
        <v>58000</v>
      </c>
      <c r="L420" s="6">
        <f>'Raw Data'!L420</f>
        <v>0.05</v>
      </c>
      <c r="M420" s="5">
        <f>'Raw Data'!M420</f>
        <v>220400</v>
      </c>
      <c r="N420" s="5">
        <f t="shared" si="30"/>
        <v>220400</v>
      </c>
      <c r="O420" s="5">
        <f>'Raw Data'!N420</f>
        <v>39000</v>
      </c>
      <c r="P420" s="5">
        <f>IF(ISBLANK('Raw Data'!N420),AVERAGEIFS('Raw Data'!$N$2:$N$433,'Raw Data'!$G$2:$G$433,G420),'Raw Data'!N420)</f>
        <v>39000</v>
      </c>
      <c r="Q420" s="5">
        <f t="shared" si="31"/>
        <v>156000</v>
      </c>
      <c r="R420" s="5">
        <f t="shared" si="32"/>
        <v>64400</v>
      </c>
      <c r="S420" s="3" t="str">
        <f>'Raw Data'!O420</f>
        <v>No</v>
      </c>
      <c r="T420" s="3" t="str">
        <f>'Raw Data'!P420</f>
        <v>Ibrahim</v>
      </c>
      <c r="U420" s="3" t="str">
        <f t="shared" si="33"/>
        <v>August</v>
      </c>
      <c r="V420" s="11">
        <f t="shared" si="34"/>
        <v>0</v>
      </c>
    </row>
    <row r="421" spans="1:22" x14ac:dyDescent="0.25">
      <c r="A421" s="3">
        <f>'Raw Data'!A421</f>
        <v>100420</v>
      </c>
      <c r="B421" s="4">
        <f>'Raw Data'!B421</f>
        <v>46079</v>
      </c>
      <c r="C421" s="3" t="str">
        <f>'Raw Data'!C421</f>
        <v>KN-01</v>
      </c>
      <c r="D421" s="3" t="str">
        <f>PROPER(TRIM('Raw Data'!D421))</f>
        <v>Kano</v>
      </c>
      <c r="E421" s="3" t="str">
        <f>'Raw Data'!E421</f>
        <v>WhatsApp</v>
      </c>
      <c r="F421" s="3" t="str">
        <f>IF(PROPER(TRIM('Raw Data'!F421))="Accessory","Accessories",PROPER(TRIM('Raw Data'!F421)))</f>
        <v>Electronics</v>
      </c>
      <c r="G421" s="3" t="str">
        <f>'Raw Data'!G421</f>
        <v>Smartphone</v>
      </c>
      <c r="H421" s="3" t="str">
        <f>'Raw Data'!H421</f>
        <v>C1089</v>
      </c>
      <c r="I421" s="3" t="str">
        <f>'Raw Data'!I421</f>
        <v>Returning</v>
      </c>
      <c r="J421" s="3">
        <f>'Raw Data'!J421</f>
        <v>2</v>
      </c>
      <c r="K421" s="5">
        <f>'Raw Data'!K421</f>
        <v>165000</v>
      </c>
      <c r="L421" s="6">
        <f>'Raw Data'!L421</f>
        <v>0.05</v>
      </c>
      <c r="M421" s="5">
        <f>'Raw Data'!M421</f>
        <v>313500</v>
      </c>
      <c r="N421" s="5">
        <f t="shared" si="30"/>
        <v>313500</v>
      </c>
      <c r="O421" s="3">
        <f>'Raw Data'!N421</f>
        <v>0</v>
      </c>
      <c r="P421" s="5">
        <f>IF(ISBLANK('Raw Data'!N421),AVERAGEIFS('Raw Data'!$N$2:$N$433,'Raw Data'!$G$2:$G$433,G421),'Raw Data'!N421)</f>
        <v>112000</v>
      </c>
      <c r="Q421" s="5">
        <f t="shared" si="31"/>
        <v>224000</v>
      </c>
      <c r="R421" s="5">
        <f t="shared" si="32"/>
        <v>89500</v>
      </c>
      <c r="S421" s="3" t="str">
        <f>'Raw Data'!O421</f>
        <v>No</v>
      </c>
      <c r="T421" s="3" t="str">
        <f>'Raw Data'!P421</f>
        <v>Ibrahim</v>
      </c>
      <c r="U421" s="3" t="str">
        <f t="shared" si="33"/>
        <v>February</v>
      </c>
      <c r="V421" s="11">
        <f t="shared" si="34"/>
        <v>0</v>
      </c>
    </row>
    <row r="422" spans="1:22" x14ac:dyDescent="0.25">
      <c r="A422" s="3">
        <f>'Raw Data'!A422</f>
        <v>100197</v>
      </c>
      <c r="B422" s="4">
        <f>'Raw Data'!B422</f>
        <v>46235</v>
      </c>
      <c r="C422" s="3" t="str">
        <f>'Raw Data'!C422</f>
        <v>AB-01</v>
      </c>
      <c r="D422" s="3" t="str">
        <f>PROPER(TRIM('Raw Data'!D422))</f>
        <v>Abuja</v>
      </c>
      <c r="E422" s="3" t="str">
        <f>'Raw Data'!E422</f>
        <v>Online</v>
      </c>
      <c r="F422" s="3" t="str">
        <f>IF(PROPER(TRIM('Raw Data'!F422))="Accessory","Accessories",PROPER(TRIM('Raw Data'!F422)))</f>
        <v>Accessories</v>
      </c>
      <c r="G422" s="3" t="str">
        <f>'Raw Data'!G422</f>
        <v>Phone Case</v>
      </c>
      <c r="H422" s="3" t="str">
        <f>'Raw Data'!H422</f>
        <v>C1152</v>
      </c>
      <c r="I422" s="3" t="str">
        <f>'Raw Data'!I422</f>
        <v>Returning</v>
      </c>
      <c r="J422" s="3">
        <f>'Raw Data'!J422</f>
        <v>1</v>
      </c>
      <c r="K422" s="5">
        <f>'Raw Data'!K422</f>
        <v>9000</v>
      </c>
      <c r="L422" s="6">
        <f>'Raw Data'!L422</f>
        <v>0.25</v>
      </c>
      <c r="M422" s="5">
        <f>'Raw Data'!M422</f>
        <v>6750</v>
      </c>
      <c r="N422" s="5">
        <f t="shared" si="30"/>
        <v>6750</v>
      </c>
      <c r="O422" s="5">
        <f>'Raw Data'!N422</f>
        <v>3500</v>
      </c>
      <c r="P422" s="5">
        <f>IF(ISBLANK('Raw Data'!N422),AVERAGEIFS('Raw Data'!$N$2:$N$433,'Raw Data'!$G$2:$G$433,G422),'Raw Data'!N422)</f>
        <v>3500</v>
      </c>
      <c r="Q422" s="5">
        <f t="shared" si="31"/>
        <v>3500</v>
      </c>
      <c r="R422" s="5">
        <f t="shared" si="32"/>
        <v>3250</v>
      </c>
      <c r="S422" s="3" t="str">
        <f>'Raw Data'!O422</f>
        <v>Yes</v>
      </c>
      <c r="T422" s="3" t="str">
        <f>'Raw Data'!P422</f>
        <v>Kemi</v>
      </c>
      <c r="U422" s="3" t="str">
        <f t="shared" si="33"/>
        <v>August</v>
      </c>
      <c r="V422" s="11">
        <f t="shared" si="34"/>
        <v>1</v>
      </c>
    </row>
    <row r="423" spans="1:22" x14ac:dyDescent="0.25">
      <c r="A423" s="3">
        <f>'Raw Data'!A423</f>
        <v>100196</v>
      </c>
      <c r="B423" s="4">
        <f>'Raw Data'!B423</f>
        <v>46078</v>
      </c>
      <c r="C423" s="3" t="str">
        <f>'Raw Data'!C423</f>
        <v>LG-02</v>
      </c>
      <c r="D423" s="3" t="str">
        <f>PROPER(TRIM('Raw Data'!D423))</f>
        <v>Lagos</v>
      </c>
      <c r="E423" s="3" t="str">
        <f>'Raw Data'!E423</f>
        <v>In-store</v>
      </c>
      <c r="F423" s="3" t="str">
        <f>IF(PROPER(TRIM('Raw Data'!F423))="Accessory","Accessories",PROPER(TRIM('Raw Data'!F423)))</f>
        <v>Electronics</v>
      </c>
      <c r="G423" s="3" t="str">
        <f>'Raw Data'!G423</f>
        <v>Earbuds</v>
      </c>
      <c r="H423" s="3" t="str">
        <f>'Raw Data'!H423</f>
        <v>C1147</v>
      </c>
      <c r="I423" s="3" t="str">
        <f>'Raw Data'!I423</f>
        <v>Returning</v>
      </c>
      <c r="J423" s="3">
        <f>'Raw Data'!J423</f>
        <v>4</v>
      </c>
      <c r="K423" s="5">
        <f>'Raw Data'!K423</f>
        <v>32000</v>
      </c>
      <c r="L423" s="6">
        <f>'Raw Data'!L423</f>
        <v>0.1</v>
      </c>
      <c r="M423" s="5">
        <f>'Raw Data'!M423</f>
        <v>115200</v>
      </c>
      <c r="N423" s="5">
        <f t="shared" si="30"/>
        <v>115200</v>
      </c>
      <c r="O423" s="5">
        <f>'Raw Data'!N423</f>
        <v>19000</v>
      </c>
      <c r="P423" s="5">
        <f>IF(ISBLANK('Raw Data'!N423),AVERAGEIFS('Raw Data'!$N$2:$N$433,'Raw Data'!$G$2:$G$433,G423),'Raw Data'!N423)</f>
        <v>19000</v>
      </c>
      <c r="Q423" s="5">
        <f t="shared" si="31"/>
        <v>76000</v>
      </c>
      <c r="R423" s="5">
        <f t="shared" si="32"/>
        <v>39200</v>
      </c>
      <c r="S423" s="3" t="str">
        <f>'Raw Data'!O423</f>
        <v>No</v>
      </c>
      <c r="T423" s="3" t="str">
        <f>'Raw Data'!P423</f>
        <v>Grace</v>
      </c>
      <c r="U423" s="3" t="str">
        <f t="shared" si="33"/>
        <v>February</v>
      </c>
      <c r="V423" s="11">
        <f t="shared" si="34"/>
        <v>0</v>
      </c>
    </row>
    <row r="424" spans="1:22" x14ac:dyDescent="0.25">
      <c r="A424" s="3">
        <f>'Raw Data'!A424</f>
        <v>100304</v>
      </c>
      <c r="B424" s="4">
        <f>'Raw Data'!B424</f>
        <v>46204</v>
      </c>
      <c r="C424" s="3" t="str">
        <f>'Raw Data'!C424</f>
        <v>KN-01</v>
      </c>
      <c r="D424" s="3" t="str">
        <f>PROPER(TRIM('Raw Data'!D424))</f>
        <v>Kano</v>
      </c>
      <c r="E424" s="3" t="str">
        <f>'Raw Data'!E424</f>
        <v>WhatsApp</v>
      </c>
      <c r="F424" s="3" t="str">
        <f>IF(PROPER(TRIM('Raw Data'!F424))="Accessory","Accessories",PROPER(TRIM('Raw Data'!F424)))</f>
        <v>Home</v>
      </c>
      <c r="G424" s="3" t="str">
        <f>'Raw Data'!G424</f>
        <v>Standing Fan</v>
      </c>
      <c r="H424" s="3" t="str">
        <f>'Raw Data'!H424</f>
        <v>C1090</v>
      </c>
      <c r="I424" s="3" t="str">
        <f>'Raw Data'!I424</f>
        <v>New</v>
      </c>
      <c r="J424" s="3">
        <f>'Raw Data'!J424</f>
        <v>5</v>
      </c>
      <c r="K424" s="5">
        <f>'Raw Data'!K424</f>
        <v>58000</v>
      </c>
      <c r="L424" s="6">
        <f>'Raw Data'!L424</f>
        <v>0.1</v>
      </c>
      <c r="M424" s="5">
        <f>'Raw Data'!M424</f>
        <v>261000</v>
      </c>
      <c r="N424" s="5">
        <f t="shared" si="30"/>
        <v>261000</v>
      </c>
      <c r="O424" s="5">
        <f>'Raw Data'!N424</f>
        <v>39000</v>
      </c>
      <c r="P424" s="5">
        <f>IF(ISBLANK('Raw Data'!N424),AVERAGEIFS('Raw Data'!$N$2:$N$433,'Raw Data'!$G$2:$G$433,G424),'Raw Data'!N424)</f>
        <v>39000</v>
      </c>
      <c r="Q424" s="5">
        <f t="shared" si="31"/>
        <v>195000</v>
      </c>
      <c r="R424" s="5">
        <f t="shared" si="32"/>
        <v>66000</v>
      </c>
      <c r="S424" s="3" t="str">
        <f>'Raw Data'!O424</f>
        <v>No</v>
      </c>
      <c r="T424" s="3" t="str">
        <f>'Raw Data'!P424</f>
        <v>Bola</v>
      </c>
      <c r="U424" s="3" t="str">
        <f t="shared" si="33"/>
        <v>July</v>
      </c>
      <c r="V424" s="11">
        <f t="shared" si="34"/>
        <v>0</v>
      </c>
    </row>
    <row r="425" spans="1:22" x14ac:dyDescent="0.25">
      <c r="A425" s="3">
        <f>'Raw Data'!A425</f>
        <v>100306</v>
      </c>
      <c r="B425" s="4">
        <f>'Raw Data'!B425</f>
        <v>46095</v>
      </c>
      <c r="C425" s="3" t="str">
        <f>'Raw Data'!C425</f>
        <v>PH-01</v>
      </c>
      <c r="D425" s="3" t="str">
        <f>PROPER(TRIM('Raw Data'!D425))</f>
        <v>Port Harcourt</v>
      </c>
      <c r="E425" s="3" t="str">
        <f>'Raw Data'!E425</f>
        <v>In-store</v>
      </c>
      <c r="F425" s="3" t="str">
        <f>IF(PROPER(TRIM('Raw Data'!F425))="Accessory","Accessories",PROPER(TRIM('Raw Data'!F425)))</f>
        <v>Accessories</v>
      </c>
      <c r="G425" s="3" t="str">
        <f>'Raw Data'!G425</f>
        <v>Phone Case</v>
      </c>
      <c r="H425" s="3" t="str">
        <f>'Raw Data'!H425</f>
        <v>C1162</v>
      </c>
      <c r="I425" s="3" t="str">
        <f>'Raw Data'!I425</f>
        <v>New</v>
      </c>
      <c r="J425" s="3">
        <f>'Raw Data'!J425</f>
        <v>1</v>
      </c>
      <c r="K425" s="5">
        <f>'Raw Data'!K425</f>
        <v>9000</v>
      </c>
      <c r="L425" s="6">
        <f>'Raw Data'!L425</f>
        <v>0.15</v>
      </c>
      <c r="M425" s="5">
        <f>'Raw Data'!M425</f>
        <v>7650</v>
      </c>
      <c r="N425" s="5">
        <f t="shared" si="30"/>
        <v>7650</v>
      </c>
      <c r="O425" s="5">
        <f>'Raw Data'!N425</f>
        <v>3500</v>
      </c>
      <c r="P425" s="5">
        <f>IF(ISBLANK('Raw Data'!N425),AVERAGEIFS('Raw Data'!$N$2:$N$433,'Raw Data'!$G$2:$G$433,G425),'Raw Data'!N425)</f>
        <v>3500</v>
      </c>
      <c r="Q425" s="5">
        <f t="shared" si="31"/>
        <v>3500</v>
      </c>
      <c r="R425" s="5">
        <f t="shared" si="32"/>
        <v>4150</v>
      </c>
      <c r="S425" s="3" t="str">
        <f>'Raw Data'!O425</f>
        <v>No</v>
      </c>
      <c r="T425" s="3" t="str">
        <f>'Raw Data'!P425</f>
        <v>Aisha</v>
      </c>
      <c r="U425" s="3" t="str">
        <f t="shared" si="33"/>
        <v>March</v>
      </c>
      <c r="V425" s="11">
        <f t="shared" si="34"/>
        <v>0</v>
      </c>
    </row>
    <row r="426" spans="1:22" x14ac:dyDescent="0.25">
      <c r="A426" s="3">
        <f>'Raw Data'!A426</f>
        <v>100367</v>
      </c>
      <c r="B426" s="4">
        <f>'Raw Data'!B426</f>
        <v>46225</v>
      </c>
      <c r="C426" s="3" t="str">
        <f>'Raw Data'!C426</f>
        <v>KN-01</v>
      </c>
      <c r="D426" s="3" t="str">
        <f>PROPER(TRIM('Raw Data'!D426))</f>
        <v>Kano</v>
      </c>
      <c r="E426" s="3" t="str">
        <f>'Raw Data'!E426</f>
        <v>In-store</v>
      </c>
      <c r="F426" s="3" t="str">
        <f>IF(PROPER(TRIM('Raw Data'!F426))="Accessory","Accessories",PROPER(TRIM('Raw Data'!F426)))</f>
        <v>Accessories</v>
      </c>
      <c r="G426" s="3" t="str">
        <f>'Raw Data'!G426</f>
        <v>Phone Case</v>
      </c>
      <c r="H426" s="3" t="str">
        <f>'Raw Data'!H426</f>
        <v>C1187</v>
      </c>
      <c r="I426" s="3" t="str">
        <f>'Raw Data'!I426</f>
        <v>Returning</v>
      </c>
      <c r="J426" s="3">
        <f>'Raw Data'!J426</f>
        <v>2</v>
      </c>
      <c r="K426" s="5">
        <f>'Raw Data'!K426</f>
        <v>9000</v>
      </c>
      <c r="L426" s="6">
        <f>'Raw Data'!L426</f>
        <v>0</v>
      </c>
      <c r="M426" s="5">
        <f>'Raw Data'!M426</f>
        <v>18000</v>
      </c>
      <c r="N426" s="5">
        <f t="shared" si="30"/>
        <v>18000</v>
      </c>
      <c r="O426" s="5">
        <f>'Raw Data'!N426</f>
        <v>3500</v>
      </c>
      <c r="P426" s="5">
        <f>IF(ISBLANK('Raw Data'!N426),AVERAGEIFS('Raw Data'!$N$2:$N$433,'Raw Data'!$G$2:$G$433,G426),'Raw Data'!N426)</f>
        <v>3500</v>
      </c>
      <c r="Q426" s="5">
        <f t="shared" si="31"/>
        <v>7000</v>
      </c>
      <c r="R426" s="5">
        <f t="shared" si="32"/>
        <v>11000</v>
      </c>
      <c r="S426" s="3" t="str">
        <f>'Raw Data'!O426</f>
        <v>No</v>
      </c>
      <c r="T426" s="3" t="str">
        <f>'Raw Data'!P426</f>
        <v>Kemi</v>
      </c>
      <c r="U426" s="3" t="str">
        <f t="shared" si="33"/>
        <v>July</v>
      </c>
      <c r="V426" s="11">
        <f t="shared" si="34"/>
        <v>0</v>
      </c>
    </row>
    <row r="427" spans="1:22" x14ac:dyDescent="0.25">
      <c r="A427" s="3">
        <f>'Raw Data'!A427</f>
        <v>100252</v>
      </c>
      <c r="B427" s="4">
        <f>'Raw Data'!B427</f>
        <v>46214</v>
      </c>
      <c r="C427" s="3" t="str">
        <f>'Raw Data'!C427</f>
        <v>KN-01</v>
      </c>
      <c r="D427" s="3" t="str">
        <f>PROPER(TRIM('Raw Data'!D427))</f>
        <v>Kano</v>
      </c>
      <c r="E427" s="3" t="str">
        <f>'Raw Data'!E427</f>
        <v>In-store</v>
      </c>
      <c r="F427" s="3" t="str">
        <f>IF(PROPER(TRIM('Raw Data'!F427))="Accessory","Accessories",PROPER(TRIM('Raw Data'!F427)))</f>
        <v>Electronics</v>
      </c>
      <c r="G427" s="3" t="str">
        <f>'Raw Data'!G427</f>
        <v>Power Bank</v>
      </c>
      <c r="H427" s="3" t="str">
        <f>'Raw Data'!H427</f>
        <v>C1117</v>
      </c>
      <c r="I427" s="3" t="str">
        <f>'Raw Data'!I427</f>
        <v>Returning</v>
      </c>
      <c r="J427" s="3">
        <f>'Raw Data'!J427</f>
        <v>2</v>
      </c>
      <c r="K427" s="5">
        <f>'Raw Data'!K427</f>
        <v>26000</v>
      </c>
      <c r="L427" s="6">
        <f>'Raw Data'!L427</f>
        <v>0</v>
      </c>
      <c r="M427" s="5">
        <f>'Raw Data'!M427</f>
        <v>52000</v>
      </c>
      <c r="N427" s="5">
        <f t="shared" si="30"/>
        <v>52000</v>
      </c>
      <c r="O427" s="5">
        <f>'Raw Data'!N427</f>
        <v>15000</v>
      </c>
      <c r="P427" s="5">
        <f>IF(ISBLANK('Raw Data'!N427),AVERAGEIFS('Raw Data'!$N$2:$N$433,'Raw Data'!$G$2:$G$433,G427),'Raw Data'!N427)</f>
        <v>15000</v>
      </c>
      <c r="Q427" s="5">
        <f t="shared" si="31"/>
        <v>30000</v>
      </c>
      <c r="R427" s="5">
        <f t="shared" si="32"/>
        <v>22000</v>
      </c>
      <c r="S427" s="3" t="str">
        <f>'Raw Data'!O427</f>
        <v>No</v>
      </c>
      <c r="T427" s="3" t="str">
        <f>'Raw Data'!P427</f>
        <v>David</v>
      </c>
      <c r="U427" s="3" t="str">
        <f t="shared" si="33"/>
        <v>July</v>
      </c>
      <c r="V427" s="11">
        <f t="shared" si="34"/>
        <v>0</v>
      </c>
    </row>
    <row r="428" spans="1:22" x14ac:dyDescent="0.25">
      <c r="A428" s="3">
        <f>'Raw Data'!A428</f>
        <v>100276</v>
      </c>
      <c r="B428" s="4">
        <f>'Raw Data'!B428</f>
        <v>46195</v>
      </c>
      <c r="C428" s="3" t="str">
        <f>'Raw Data'!C428</f>
        <v>LG-02</v>
      </c>
      <c r="D428" s="3" t="str">
        <f>PROPER(TRIM('Raw Data'!D428))</f>
        <v>Lagos</v>
      </c>
      <c r="E428" s="3" t="str">
        <f>'Raw Data'!E428</f>
        <v>Online</v>
      </c>
      <c r="F428" s="3" t="str">
        <f>IF(PROPER(TRIM('Raw Data'!F428))="Accessory","Accessories",PROPER(TRIM('Raw Data'!F428)))</f>
        <v>Home</v>
      </c>
      <c r="G428" s="3" t="str">
        <f>'Raw Data'!G428</f>
        <v>Electric Kettle</v>
      </c>
      <c r="H428" s="3" t="str">
        <f>'Raw Data'!H428</f>
        <v>C1016</v>
      </c>
      <c r="I428" s="3" t="str">
        <f>'Raw Data'!I428</f>
        <v>New</v>
      </c>
      <c r="J428" s="3">
        <f>'Raw Data'!J428</f>
        <v>2</v>
      </c>
      <c r="K428" s="5">
        <f>'Raw Data'!K428</f>
        <v>24000</v>
      </c>
      <c r="L428" s="6">
        <f>'Raw Data'!L428</f>
        <v>0.1</v>
      </c>
      <c r="M428" s="5">
        <f>'Raw Data'!M428</f>
        <v>43200</v>
      </c>
      <c r="N428" s="5">
        <f t="shared" si="30"/>
        <v>43200</v>
      </c>
      <c r="O428" s="5">
        <f>'Raw Data'!N428</f>
        <v>15000</v>
      </c>
      <c r="P428" s="5">
        <f>IF(ISBLANK('Raw Data'!N428),AVERAGEIFS('Raw Data'!$N$2:$N$433,'Raw Data'!$G$2:$G$433,G428),'Raw Data'!N428)</f>
        <v>15000</v>
      </c>
      <c r="Q428" s="5">
        <f t="shared" si="31"/>
        <v>30000</v>
      </c>
      <c r="R428" s="5">
        <f t="shared" si="32"/>
        <v>13200</v>
      </c>
      <c r="S428" s="3" t="str">
        <f>'Raw Data'!O428</f>
        <v>No</v>
      </c>
      <c r="T428" s="3" t="str">
        <f>'Raw Data'!P428</f>
        <v>David</v>
      </c>
      <c r="U428" s="3" t="str">
        <f t="shared" si="33"/>
        <v>June</v>
      </c>
      <c r="V428" s="11">
        <f t="shared" si="34"/>
        <v>0</v>
      </c>
    </row>
    <row r="429" spans="1:22" x14ac:dyDescent="0.25">
      <c r="A429" s="3">
        <f>'Raw Data'!A429</f>
        <v>100395</v>
      </c>
      <c r="B429" s="4">
        <f>'Raw Data'!B429</f>
        <v>46151</v>
      </c>
      <c r="C429" s="3" t="str">
        <f>'Raw Data'!C429</f>
        <v>KN-01</v>
      </c>
      <c r="D429" s="3" t="str">
        <f>PROPER(TRIM('Raw Data'!D429))</f>
        <v>Kano</v>
      </c>
      <c r="E429" s="3" t="str">
        <f>'Raw Data'!E429</f>
        <v>WhatsApp</v>
      </c>
      <c r="F429" s="3" t="str">
        <f>IF(PROPER(TRIM('Raw Data'!F429))="Accessory","Accessories",PROPER(TRIM('Raw Data'!F429)))</f>
        <v>Accessories</v>
      </c>
      <c r="G429" s="3" t="str">
        <f>'Raw Data'!G429</f>
        <v>Backpack</v>
      </c>
      <c r="H429" s="3" t="str">
        <f>'Raw Data'!H429</f>
        <v>C1089</v>
      </c>
      <c r="I429" s="3" t="str">
        <f>'Raw Data'!I429</f>
        <v>Returning</v>
      </c>
      <c r="J429" s="3">
        <f>'Raw Data'!J429</f>
        <v>2</v>
      </c>
      <c r="K429" s="5">
        <f>'Raw Data'!K429</f>
        <v>28000</v>
      </c>
      <c r="L429" s="6">
        <f>'Raw Data'!L429</f>
        <v>0.05</v>
      </c>
      <c r="M429" s="5">
        <f>'Raw Data'!M429</f>
        <v>53200</v>
      </c>
      <c r="N429" s="5">
        <f t="shared" si="30"/>
        <v>53200</v>
      </c>
      <c r="O429" s="5">
        <f>'Raw Data'!N429</f>
        <v>16000</v>
      </c>
      <c r="P429" s="5">
        <f>IF(ISBLANK('Raw Data'!N429),AVERAGEIFS('Raw Data'!$N$2:$N$433,'Raw Data'!$G$2:$G$433,G429),'Raw Data'!N429)</f>
        <v>16000</v>
      </c>
      <c r="Q429" s="5">
        <f t="shared" si="31"/>
        <v>32000</v>
      </c>
      <c r="R429" s="5">
        <f t="shared" si="32"/>
        <v>21200</v>
      </c>
      <c r="S429" s="3" t="str">
        <f>'Raw Data'!O429</f>
        <v>No</v>
      </c>
      <c r="T429" s="3" t="str">
        <f>'Raw Data'!P429</f>
        <v>Aisha</v>
      </c>
      <c r="U429" s="3" t="str">
        <f t="shared" si="33"/>
        <v>May</v>
      </c>
      <c r="V429" s="11">
        <f t="shared" si="34"/>
        <v>0</v>
      </c>
    </row>
    <row r="430" spans="1:22" x14ac:dyDescent="0.25">
      <c r="A430" s="3">
        <f>'Raw Data'!A430</f>
        <v>100074</v>
      </c>
      <c r="B430" s="4">
        <f>'Raw Data'!B430</f>
        <v>46132</v>
      </c>
      <c r="C430" s="3" t="str">
        <f>'Raw Data'!C430</f>
        <v>IB-01</v>
      </c>
      <c r="D430" s="3" t="str">
        <f>PROPER(TRIM('Raw Data'!D430))</f>
        <v>Ibadan</v>
      </c>
      <c r="E430" s="3" t="str">
        <f>'Raw Data'!E430</f>
        <v>In-store</v>
      </c>
      <c r="F430" s="3" t="str">
        <f>IF(PROPER(TRIM('Raw Data'!F430))="Accessory","Accessories",PROPER(TRIM('Raw Data'!F430)))</f>
        <v>Accessories</v>
      </c>
      <c r="G430" s="3" t="str">
        <f>'Raw Data'!G430</f>
        <v>USB Cable</v>
      </c>
      <c r="H430" s="3" t="str">
        <f>'Raw Data'!H430</f>
        <v>C1043</v>
      </c>
      <c r="I430" s="3" t="str">
        <f>'Raw Data'!I430</f>
        <v>New</v>
      </c>
      <c r="J430" s="3">
        <f>'Raw Data'!J430</f>
        <v>4</v>
      </c>
      <c r="K430" s="5">
        <f>'Raw Data'!K430</f>
        <v>6500</v>
      </c>
      <c r="L430" s="6">
        <f>'Raw Data'!L430</f>
        <v>0.05</v>
      </c>
      <c r="M430" s="5">
        <f>'Raw Data'!M430</f>
        <v>24700</v>
      </c>
      <c r="N430" s="5">
        <f t="shared" si="30"/>
        <v>24700</v>
      </c>
      <c r="O430" s="5">
        <f>'Raw Data'!N430</f>
        <v>2200</v>
      </c>
      <c r="P430" s="5">
        <f>IF(ISBLANK('Raw Data'!N430),AVERAGEIFS('Raw Data'!$N$2:$N$433,'Raw Data'!$G$2:$G$433,G430),'Raw Data'!N430)</f>
        <v>2200</v>
      </c>
      <c r="Q430" s="5">
        <f t="shared" si="31"/>
        <v>8800</v>
      </c>
      <c r="R430" s="5">
        <f t="shared" si="32"/>
        <v>15900</v>
      </c>
      <c r="S430" s="3" t="str">
        <f>'Raw Data'!O430</f>
        <v>No</v>
      </c>
      <c r="T430" s="3" t="str">
        <f>'Raw Data'!P430</f>
        <v>Chinedu</v>
      </c>
      <c r="U430" s="3" t="str">
        <f t="shared" si="33"/>
        <v>April</v>
      </c>
      <c r="V430" s="11">
        <f t="shared" si="34"/>
        <v>0</v>
      </c>
    </row>
    <row r="431" spans="1:22" x14ac:dyDescent="0.25">
      <c r="A431" s="3">
        <f>'Raw Data'!A431</f>
        <v>100386</v>
      </c>
      <c r="B431" s="4">
        <f>'Raw Data'!B431</f>
        <v>46049</v>
      </c>
      <c r="C431" s="3" t="str">
        <f>'Raw Data'!C431</f>
        <v>LG-01</v>
      </c>
      <c r="D431" s="3" t="str">
        <f>PROPER(TRIM('Raw Data'!D431))</f>
        <v>Lagos</v>
      </c>
      <c r="E431" s="3" t="str">
        <f>'Raw Data'!E431</f>
        <v>WhatsApp</v>
      </c>
      <c r="F431" s="3" t="str">
        <f>IF(PROPER(TRIM('Raw Data'!F431))="Accessory","Accessories",PROPER(TRIM('Raw Data'!F431)))</f>
        <v>Accessories</v>
      </c>
      <c r="G431" s="3" t="str">
        <f>'Raw Data'!G431</f>
        <v>Phone Case</v>
      </c>
      <c r="H431" s="3" t="str">
        <f>'Raw Data'!H431</f>
        <v>C1068</v>
      </c>
      <c r="I431" s="3" t="str">
        <f>'Raw Data'!I431</f>
        <v>New</v>
      </c>
      <c r="J431" s="3">
        <f>'Raw Data'!J431</f>
        <v>3</v>
      </c>
      <c r="K431" s="5">
        <f>'Raw Data'!K431</f>
        <v>9000</v>
      </c>
      <c r="L431" s="6">
        <f>'Raw Data'!L431</f>
        <v>0</v>
      </c>
      <c r="M431" s="5">
        <f>'Raw Data'!M431</f>
        <v>27000</v>
      </c>
      <c r="N431" s="5">
        <f t="shared" si="30"/>
        <v>27000</v>
      </c>
      <c r="O431" s="5">
        <f>'Raw Data'!N431</f>
        <v>3500</v>
      </c>
      <c r="P431" s="5">
        <f>IF(ISBLANK('Raw Data'!N431),AVERAGEIFS('Raw Data'!$N$2:$N$433,'Raw Data'!$G$2:$G$433,G431),'Raw Data'!N431)</f>
        <v>3500</v>
      </c>
      <c r="Q431" s="5">
        <f t="shared" si="31"/>
        <v>10500</v>
      </c>
      <c r="R431" s="5">
        <f t="shared" si="32"/>
        <v>16500</v>
      </c>
      <c r="S431" s="3" t="str">
        <f>'Raw Data'!O431</f>
        <v>No</v>
      </c>
      <c r="T431" s="3" t="str">
        <f>'Raw Data'!P431</f>
        <v>Ibrahim</v>
      </c>
      <c r="U431" s="3" t="str">
        <f t="shared" si="33"/>
        <v>January</v>
      </c>
      <c r="V431" s="11">
        <f t="shared" si="34"/>
        <v>0</v>
      </c>
    </row>
    <row r="432" spans="1:22" x14ac:dyDescent="0.25">
      <c r="A432" s="3">
        <f>'Raw Data'!A432</f>
        <v>100061</v>
      </c>
      <c r="B432" s="4">
        <f>'Raw Data'!B432</f>
        <v>46251</v>
      </c>
      <c r="C432" s="3" t="str">
        <f>'Raw Data'!C432</f>
        <v>LG-02</v>
      </c>
      <c r="D432" s="3" t="str">
        <f>PROPER(TRIM('Raw Data'!D432))</f>
        <v>Lagos</v>
      </c>
      <c r="E432" s="3" t="str">
        <f>'Raw Data'!E432</f>
        <v>In-store</v>
      </c>
      <c r="F432" s="3" t="str">
        <f>IF(PROPER(TRIM('Raw Data'!F432))="Accessory","Accessories",PROPER(TRIM('Raw Data'!F432)))</f>
        <v>Electronics</v>
      </c>
      <c r="G432" s="3" t="str">
        <f>'Raw Data'!G432</f>
        <v>Earbuds</v>
      </c>
      <c r="H432" s="3" t="str">
        <f>'Raw Data'!H432</f>
        <v>C1039</v>
      </c>
      <c r="I432" s="3" t="str">
        <f>'Raw Data'!I432</f>
        <v>Returning</v>
      </c>
      <c r="J432" s="3">
        <f>'Raw Data'!J432</f>
        <v>1</v>
      </c>
      <c r="K432" s="5">
        <f>'Raw Data'!K432</f>
        <v>32000</v>
      </c>
      <c r="L432" s="6">
        <f>'Raw Data'!L432</f>
        <v>0.15</v>
      </c>
      <c r="M432" s="5">
        <f>'Raw Data'!M432</f>
        <v>27200</v>
      </c>
      <c r="N432" s="5">
        <f t="shared" si="30"/>
        <v>27200</v>
      </c>
      <c r="O432" s="5">
        <f>'Raw Data'!N432</f>
        <v>19000</v>
      </c>
      <c r="P432" s="5">
        <f>IF(ISBLANK('Raw Data'!N432),AVERAGEIFS('Raw Data'!$N$2:$N$433,'Raw Data'!$G$2:$G$433,G432),'Raw Data'!N432)</f>
        <v>19000</v>
      </c>
      <c r="Q432" s="5">
        <f t="shared" si="31"/>
        <v>19000</v>
      </c>
      <c r="R432" s="5">
        <f t="shared" si="32"/>
        <v>8200</v>
      </c>
      <c r="S432" s="3" t="str">
        <f>'Raw Data'!O432</f>
        <v>No</v>
      </c>
      <c r="T432" s="3" t="str">
        <f>'Raw Data'!P432</f>
        <v>Aisha</v>
      </c>
      <c r="U432" s="3" t="str">
        <f t="shared" si="33"/>
        <v>August</v>
      </c>
      <c r="V432" s="11">
        <f t="shared" si="34"/>
        <v>0</v>
      </c>
    </row>
    <row r="433" spans="1:22" x14ac:dyDescent="0.25">
      <c r="A433" s="3">
        <f>'Raw Data'!A433</f>
        <v>100401</v>
      </c>
      <c r="B433" s="4">
        <f>'Raw Data'!B433</f>
        <v>46168</v>
      </c>
      <c r="C433" s="3" t="str">
        <f>'Raw Data'!C433</f>
        <v>IB-01</v>
      </c>
      <c r="D433" s="3" t="str">
        <f>PROPER(TRIM('Raw Data'!D433))</f>
        <v>Ibadan</v>
      </c>
      <c r="E433" s="3" t="str">
        <f>'Raw Data'!E433</f>
        <v>Online</v>
      </c>
      <c r="F433" s="3" t="str">
        <f>IF(PROPER(TRIM('Raw Data'!F433))="Accessory","Accessories",PROPER(TRIM('Raw Data'!F433)))</f>
        <v>Electronics</v>
      </c>
      <c r="G433" s="3" t="str">
        <f>'Raw Data'!G433</f>
        <v>Smartphone</v>
      </c>
      <c r="H433" s="3" t="str">
        <f>'Raw Data'!H433</f>
        <v>C1158</v>
      </c>
      <c r="I433" s="3" t="str">
        <f>'Raw Data'!I433</f>
        <v>Returning</v>
      </c>
      <c r="J433" s="3">
        <f>'Raw Data'!J433</f>
        <v>3</v>
      </c>
      <c r="K433" s="5">
        <f>'Raw Data'!K433</f>
        <v>165000</v>
      </c>
      <c r="L433" s="6">
        <f>'Raw Data'!L433</f>
        <v>0</v>
      </c>
      <c r="M433" s="5">
        <f>'Raw Data'!M433</f>
        <v>495000</v>
      </c>
      <c r="N433" s="5">
        <f t="shared" si="30"/>
        <v>495000</v>
      </c>
      <c r="O433" s="5">
        <f>'Raw Data'!N433</f>
        <v>112000</v>
      </c>
      <c r="P433" s="5">
        <f>IF(ISBLANK('Raw Data'!N433),AVERAGEIFS('Raw Data'!$N$2:$N$433,'Raw Data'!$G$2:$G$433,G433),'Raw Data'!N433)</f>
        <v>112000</v>
      </c>
      <c r="Q433" s="5">
        <f t="shared" si="31"/>
        <v>336000</v>
      </c>
      <c r="R433" s="5">
        <f t="shared" si="32"/>
        <v>159000</v>
      </c>
      <c r="S433" s="3" t="str">
        <f>'Raw Data'!O433</f>
        <v>Yes</v>
      </c>
      <c r="T433" s="3" t="str">
        <f>'Raw Data'!P433</f>
        <v>Fatima</v>
      </c>
      <c r="U433" s="3" t="str">
        <f t="shared" si="33"/>
        <v>May</v>
      </c>
      <c r="V433" s="11">
        <f t="shared" si="34"/>
        <v>1</v>
      </c>
    </row>
    <row r="435" spans="1:22" x14ac:dyDescent="0.25">
      <c r="M435" s="7">
        <f>SUM(M2:M434)</f>
        <v>47500870</v>
      </c>
      <c r="N435" s="7">
        <f>SUM(N2:N434)</f>
        <v>47810625</v>
      </c>
    </row>
  </sheetData>
  <conditionalFormatting sqref="A2:V433">
    <cfRule type="cellIs" dxfId="3" priority="4" operator="equal">
      <formula>"Yes"</formula>
    </cfRule>
  </conditionalFormatting>
  <conditionalFormatting sqref="N2:N433">
    <cfRule type="expression" dxfId="2" priority="5">
      <formula>ROUND(N2,0)&lt;&gt;ROUND(M2,0)</formula>
    </cfRule>
  </conditionalFormatting>
  <conditionalFormatting sqref="P2:P433">
    <cfRule type="cellIs" dxfId="1" priority="2" operator="notEqual">
      <formula>O2</formula>
    </cfRule>
    <cfRule type="expression" dxfId="0" priority="3">
      <formula>$V2="Yes"</formula>
    </cfRule>
  </conditionalFormatting>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435"/>
  <sheetViews>
    <sheetView showGridLines="0" zoomScaleNormal="100" workbookViewId="0">
      <pane ySplit="1" topLeftCell="A415" activePane="bottomLeft" state="frozen"/>
      <selection pane="bottomLeft" activeCell="M435" sqref="M435"/>
    </sheetView>
  </sheetViews>
  <sheetFormatPr defaultColWidth="8.6640625" defaultRowHeight="13.8" x14ac:dyDescent="0.25"/>
  <cols>
    <col min="1" max="1" width="14" style="2" customWidth="1"/>
    <col min="2" max="2" width="11" style="2" customWidth="1"/>
    <col min="3" max="3" width="9" style="2" customWidth="1"/>
    <col min="4" max="4" width="14" style="2" customWidth="1"/>
    <col min="5" max="5" width="10" style="2" customWidth="1"/>
    <col min="6" max="6" width="15" style="2" customWidth="1"/>
    <col min="7" max="7" width="14" style="2" customWidth="1"/>
    <col min="8" max="8" width="11" style="2" customWidth="1"/>
    <col min="9" max="9" width="13" style="2" customWidth="1"/>
    <col min="10" max="10" width="7" style="2" customWidth="1"/>
    <col min="11" max="11" width="13" style="2" customWidth="1"/>
    <col min="12" max="12" width="10" style="2" customWidth="1"/>
    <col min="13" max="13" width="17" style="2" customWidth="1"/>
    <col min="14" max="14" width="15" style="2" customWidth="1"/>
    <col min="15" max="16" width="11" style="2" customWidth="1"/>
    <col min="17" max="16384" width="8.6640625" style="2"/>
  </cols>
  <sheetData>
    <row r="1" spans="1:16" ht="27.6" x14ac:dyDescent="0.25">
      <c r="A1" s="1" t="s">
        <v>231</v>
      </c>
      <c r="B1" s="1" t="s">
        <v>0</v>
      </c>
      <c r="C1" s="1" t="s">
        <v>232</v>
      </c>
      <c r="D1" s="1" t="s">
        <v>1</v>
      </c>
      <c r="E1" s="1" t="s">
        <v>2</v>
      </c>
      <c r="F1" s="1" t="s">
        <v>233</v>
      </c>
      <c r="G1" s="1" t="s">
        <v>4</v>
      </c>
      <c r="H1" s="1" t="s">
        <v>234</v>
      </c>
      <c r="I1" s="1" t="s">
        <v>235</v>
      </c>
      <c r="J1" s="1" t="s">
        <v>5</v>
      </c>
      <c r="K1" s="1" t="s">
        <v>236</v>
      </c>
      <c r="L1" s="1" t="s">
        <v>237</v>
      </c>
      <c r="M1" s="1" t="s">
        <v>238</v>
      </c>
      <c r="N1" s="1" t="s">
        <v>239</v>
      </c>
      <c r="O1" s="1" t="s">
        <v>240</v>
      </c>
      <c r="P1" s="1" t="s">
        <v>241</v>
      </c>
    </row>
    <row r="2" spans="1:16" x14ac:dyDescent="0.25">
      <c r="A2" s="3">
        <v>100001</v>
      </c>
      <c r="B2" s="4">
        <v>46167</v>
      </c>
      <c r="C2" s="3" t="s">
        <v>6</v>
      </c>
      <c r="D2" s="3" t="s">
        <v>7</v>
      </c>
      <c r="E2" s="3" t="s">
        <v>8</v>
      </c>
      <c r="F2" s="3" t="s">
        <v>9</v>
      </c>
      <c r="G2" s="3" t="s">
        <v>10</v>
      </c>
      <c r="H2" s="3" t="s">
        <v>11</v>
      </c>
      <c r="I2" s="3" t="s">
        <v>12</v>
      </c>
      <c r="J2" s="3">
        <v>1</v>
      </c>
      <c r="K2" s="5">
        <v>58000</v>
      </c>
      <c r="L2" s="6">
        <v>0</v>
      </c>
      <c r="M2" s="5">
        <v>58000</v>
      </c>
      <c r="N2" s="3"/>
      <c r="O2" s="3" t="s">
        <v>13</v>
      </c>
      <c r="P2" s="3" t="s">
        <v>14</v>
      </c>
    </row>
    <row r="3" spans="1:16" x14ac:dyDescent="0.25">
      <c r="A3" s="3">
        <v>100002</v>
      </c>
      <c r="B3" s="4">
        <v>46129</v>
      </c>
      <c r="C3" s="3" t="s">
        <v>15</v>
      </c>
      <c r="D3" s="3" t="s">
        <v>16</v>
      </c>
      <c r="E3" s="3" t="s">
        <v>8</v>
      </c>
      <c r="F3" s="3" t="s">
        <v>17</v>
      </c>
      <c r="G3" s="3" t="s">
        <v>18</v>
      </c>
      <c r="H3" s="3" t="s">
        <v>19</v>
      </c>
      <c r="I3" s="3" t="s">
        <v>20</v>
      </c>
      <c r="J3" s="3">
        <v>5</v>
      </c>
      <c r="K3" s="5">
        <v>165000</v>
      </c>
      <c r="L3" s="6">
        <v>0.05</v>
      </c>
      <c r="M3" s="5">
        <v>627000</v>
      </c>
      <c r="N3" s="5">
        <v>112000</v>
      </c>
      <c r="O3" s="3" t="s">
        <v>13</v>
      </c>
      <c r="P3" s="3" t="s">
        <v>21</v>
      </c>
    </row>
    <row r="4" spans="1:16" x14ac:dyDescent="0.25">
      <c r="A4" s="3">
        <v>100003</v>
      </c>
      <c r="B4" s="4">
        <v>46079</v>
      </c>
      <c r="C4" s="3" t="s">
        <v>22</v>
      </c>
      <c r="D4" s="3" t="s">
        <v>7</v>
      </c>
      <c r="E4" s="3" t="s">
        <v>8</v>
      </c>
      <c r="F4" s="3" t="s">
        <v>17</v>
      </c>
      <c r="G4" s="3" t="s">
        <v>23</v>
      </c>
      <c r="H4" s="3" t="s">
        <v>24</v>
      </c>
      <c r="I4" s="3" t="s">
        <v>20</v>
      </c>
      <c r="J4" s="3">
        <v>3</v>
      </c>
      <c r="K4" s="5">
        <v>32000</v>
      </c>
      <c r="L4" s="6">
        <v>0.2</v>
      </c>
      <c r="M4" s="5">
        <v>76800</v>
      </c>
      <c r="N4" s="5">
        <v>19000</v>
      </c>
      <c r="O4" s="3" t="s">
        <v>13</v>
      </c>
      <c r="P4" s="3" t="s">
        <v>14</v>
      </c>
    </row>
    <row r="5" spans="1:16" x14ac:dyDescent="0.25">
      <c r="A5" s="3">
        <v>100004</v>
      </c>
      <c r="B5" s="4">
        <v>46182</v>
      </c>
      <c r="C5" s="3" t="s">
        <v>25</v>
      </c>
      <c r="D5" s="3" t="s">
        <v>26</v>
      </c>
      <c r="E5" s="3" t="s">
        <v>27</v>
      </c>
      <c r="F5" s="3" t="s">
        <v>17</v>
      </c>
      <c r="G5" s="3" t="s">
        <v>28</v>
      </c>
      <c r="H5" s="3" t="s">
        <v>29</v>
      </c>
      <c r="I5" s="3" t="s">
        <v>20</v>
      </c>
      <c r="J5" s="3">
        <v>4</v>
      </c>
      <c r="K5" s="5">
        <v>26000</v>
      </c>
      <c r="L5" s="6">
        <v>0</v>
      </c>
      <c r="M5" s="5">
        <v>104000</v>
      </c>
      <c r="N5" s="5">
        <v>15000</v>
      </c>
      <c r="O5" s="3" t="s">
        <v>13</v>
      </c>
      <c r="P5" s="3" t="s">
        <v>30</v>
      </c>
    </row>
    <row r="6" spans="1:16" x14ac:dyDescent="0.25">
      <c r="A6" s="3">
        <v>100005</v>
      </c>
      <c r="B6" s="4">
        <v>46172</v>
      </c>
      <c r="C6" s="3" t="s">
        <v>15</v>
      </c>
      <c r="D6" s="3" t="s">
        <v>16</v>
      </c>
      <c r="E6" s="3" t="s">
        <v>27</v>
      </c>
      <c r="F6" s="3" t="s">
        <v>17</v>
      </c>
      <c r="G6" s="3" t="s">
        <v>18</v>
      </c>
      <c r="H6" s="3" t="s">
        <v>31</v>
      </c>
      <c r="I6" s="3" t="s">
        <v>20</v>
      </c>
      <c r="J6" s="3">
        <v>1</v>
      </c>
      <c r="K6" s="5">
        <v>165000</v>
      </c>
      <c r="L6" s="6">
        <v>0.05</v>
      </c>
      <c r="M6" s="5">
        <v>156750</v>
      </c>
      <c r="N6" s="5">
        <v>112000</v>
      </c>
      <c r="O6" s="3" t="s">
        <v>13</v>
      </c>
      <c r="P6" s="3" t="s">
        <v>14</v>
      </c>
    </row>
    <row r="7" spans="1:16" x14ac:dyDescent="0.25">
      <c r="A7" s="3">
        <v>100006</v>
      </c>
      <c r="B7" s="4">
        <v>46238</v>
      </c>
      <c r="C7" s="3" t="s">
        <v>32</v>
      </c>
      <c r="D7" s="3" t="s">
        <v>16</v>
      </c>
      <c r="E7" s="3" t="s">
        <v>33</v>
      </c>
      <c r="F7" s="3" t="s">
        <v>34</v>
      </c>
      <c r="G7" s="3" t="s">
        <v>35</v>
      </c>
      <c r="H7" s="3" t="s">
        <v>36</v>
      </c>
      <c r="I7" s="3" t="s">
        <v>20</v>
      </c>
      <c r="J7" s="3">
        <v>3</v>
      </c>
      <c r="K7" s="5">
        <v>6500</v>
      </c>
      <c r="L7" s="6">
        <v>0.1</v>
      </c>
      <c r="M7" s="5">
        <v>17550</v>
      </c>
      <c r="N7" s="5">
        <v>2200</v>
      </c>
      <c r="O7" s="3" t="s">
        <v>13</v>
      </c>
      <c r="P7" s="3" t="s">
        <v>37</v>
      </c>
    </row>
    <row r="8" spans="1:16" x14ac:dyDescent="0.25">
      <c r="A8" s="3">
        <v>100007</v>
      </c>
      <c r="B8" s="4">
        <v>46090</v>
      </c>
      <c r="C8" s="3" t="s">
        <v>15</v>
      </c>
      <c r="D8" s="3" t="s">
        <v>16</v>
      </c>
      <c r="E8" s="3" t="s">
        <v>33</v>
      </c>
      <c r="F8" s="3" t="s">
        <v>17</v>
      </c>
      <c r="G8" s="3" t="s">
        <v>28</v>
      </c>
      <c r="H8" s="3" t="s">
        <v>38</v>
      </c>
      <c r="I8" s="3" t="s">
        <v>12</v>
      </c>
      <c r="J8" s="3">
        <v>3</v>
      </c>
      <c r="K8" s="5">
        <v>26000</v>
      </c>
      <c r="L8" s="6">
        <v>0.1</v>
      </c>
      <c r="M8" s="5">
        <v>70200</v>
      </c>
      <c r="N8" s="5">
        <v>15000</v>
      </c>
      <c r="O8" s="3" t="s">
        <v>13</v>
      </c>
      <c r="P8" s="3" t="s">
        <v>14</v>
      </c>
    </row>
    <row r="9" spans="1:16" x14ac:dyDescent="0.25">
      <c r="A9" s="3">
        <v>100008</v>
      </c>
      <c r="B9" s="4">
        <v>46229</v>
      </c>
      <c r="C9" s="3" t="s">
        <v>25</v>
      </c>
      <c r="D9" s="3" t="s">
        <v>26</v>
      </c>
      <c r="E9" s="3" t="s">
        <v>27</v>
      </c>
      <c r="F9" s="3" t="s">
        <v>17</v>
      </c>
      <c r="G9" s="3" t="s">
        <v>18</v>
      </c>
      <c r="H9" s="3" t="s">
        <v>39</v>
      </c>
      <c r="I9" s="3" t="s">
        <v>20</v>
      </c>
      <c r="J9" s="3">
        <v>5</v>
      </c>
      <c r="K9" s="5">
        <v>165000</v>
      </c>
      <c r="L9" s="6">
        <v>0.05</v>
      </c>
      <c r="M9" s="5">
        <v>783750</v>
      </c>
      <c r="N9" s="5">
        <v>112000</v>
      </c>
      <c r="O9" s="3" t="s">
        <v>13</v>
      </c>
      <c r="P9" s="3" t="s">
        <v>21</v>
      </c>
    </row>
    <row r="10" spans="1:16" x14ac:dyDescent="0.25">
      <c r="A10" s="3">
        <v>100009</v>
      </c>
      <c r="B10" s="4">
        <v>46028</v>
      </c>
      <c r="C10" s="3" t="s">
        <v>40</v>
      </c>
      <c r="D10" s="3" t="s">
        <v>41</v>
      </c>
      <c r="E10" s="3" t="s">
        <v>33</v>
      </c>
      <c r="F10" s="3" t="s">
        <v>9</v>
      </c>
      <c r="G10" s="3" t="s">
        <v>42</v>
      </c>
      <c r="H10" s="3" t="s">
        <v>43</v>
      </c>
      <c r="I10" s="3" t="s">
        <v>20</v>
      </c>
      <c r="J10" s="3">
        <v>3</v>
      </c>
      <c r="K10" s="5">
        <v>42000</v>
      </c>
      <c r="L10" s="6">
        <v>0.15</v>
      </c>
      <c r="M10" s="5">
        <v>107100</v>
      </c>
      <c r="N10" s="5">
        <v>28000</v>
      </c>
      <c r="O10" s="3" t="s">
        <v>13</v>
      </c>
      <c r="P10" s="3" t="s">
        <v>44</v>
      </c>
    </row>
    <row r="11" spans="1:16" x14ac:dyDescent="0.25">
      <c r="A11" s="3">
        <v>100010</v>
      </c>
      <c r="B11" s="4">
        <v>46248</v>
      </c>
      <c r="C11" s="3" t="s">
        <v>45</v>
      </c>
      <c r="D11" s="3" t="s">
        <v>46</v>
      </c>
      <c r="E11" s="3" t="s">
        <v>33</v>
      </c>
      <c r="F11" s="3" t="s">
        <v>17</v>
      </c>
      <c r="G11" s="3" t="s">
        <v>18</v>
      </c>
      <c r="H11" s="3" t="s">
        <v>47</v>
      </c>
      <c r="I11" s="3" t="s">
        <v>20</v>
      </c>
      <c r="J11" s="3">
        <v>1</v>
      </c>
      <c r="K11" s="5">
        <v>165000</v>
      </c>
      <c r="L11" s="6">
        <v>0</v>
      </c>
      <c r="M11" s="5">
        <v>165000</v>
      </c>
      <c r="N11" s="5">
        <v>112000</v>
      </c>
      <c r="O11" s="3" t="s">
        <v>13</v>
      </c>
      <c r="P11" s="3" t="s">
        <v>48</v>
      </c>
    </row>
    <row r="12" spans="1:16" x14ac:dyDescent="0.25">
      <c r="A12" s="3">
        <v>100011</v>
      </c>
      <c r="B12" s="4">
        <v>46200</v>
      </c>
      <c r="C12" s="3" t="s">
        <v>15</v>
      </c>
      <c r="D12" s="3" t="s">
        <v>16</v>
      </c>
      <c r="E12" s="3" t="s">
        <v>33</v>
      </c>
      <c r="F12" s="3" t="s">
        <v>17</v>
      </c>
      <c r="G12" s="3" t="s">
        <v>23</v>
      </c>
      <c r="H12" s="3" t="s">
        <v>49</v>
      </c>
      <c r="I12" s="3" t="s">
        <v>20</v>
      </c>
      <c r="J12" s="3">
        <v>1</v>
      </c>
      <c r="K12" s="5">
        <v>32000</v>
      </c>
      <c r="L12" s="6">
        <v>0</v>
      </c>
      <c r="M12" s="5">
        <v>32000</v>
      </c>
      <c r="N12" s="5">
        <v>19000</v>
      </c>
      <c r="O12" s="3" t="s">
        <v>13</v>
      </c>
      <c r="P12" s="3" t="s">
        <v>48</v>
      </c>
    </row>
    <row r="13" spans="1:16" x14ac:dyDescent="0.25">
      <c r="A13" s="3">
        <v>100012</v>
      </c>
      <c r="B13" s="4">
        <v>46120</v>
      </c>
      <c r="C13" s="3" t="s">
        <v>25</v>
      </c>
      <c r="D13" s="3" t="s">
        <v>26</v>
      </c>
      <c r="E13" s="3" t="s">
        <v>27</v>
      </c>
      <c r="F13" s="3" t="s">
        <v>34</v>
      </c>
      <c r="G13" s="3" t="s">
        <v>50</v>
      </c>
      <c r="H13" s="3" t="s">
        <v>51</v>
      </c>
      <c r="I13" s="3" t="s">
        <v>12</v>
      </c>
      <c r="J13" s="3">
        <v>1</v>
      </c>
      <c r="K13" s="5">
        <v>9000</v>
      </c>
      <c r="L13" s="6">
        <v>0</v>
      </c>
      <c r="M13" s="5">
        <v>9000</v>
      </c>
      <c r="N13" s="5">
        <v>3500</v>
      </c>
      <c r="O13" s="3" t="s">
        <v>13</v>
      </c>
      <c r="P13" s="3" t="s">
        <v>48</v>
      </c>
    </row>
    <row r="14" spans="1:16" x14ac:dyDescent="0.25">
      <c r="A14" s="3">
        <v>100013</v>
      </c>
      <c r="B14" s="4">
        <v>46153</v>
      </c>
      <c r="C14" s="3" t="s">
        <v>40</v>
      </c>
      <c r="D14" s="3" t="s">
        <v>41</v>
      </c>
      <c r="E14" s="3" t="s">
        <v>33</v>
      </c>
      <c r="F14" s="3" t="s">
        <v>9</v>
      </c>
      <c r="G14" s="3" t="s">
        <v>52</v>
      </c>
      <c r="H14" s="3" t="s">
        <v>53</v>
      </c>
      <c r="I14" s="3" t="s">
        <v>12</v>
      </c>
      <c r="J14" s="3">
        <v>2</v>
      </c>
      <c r="K14" s="5">
        <v>24000</v>
      </c>
      <c r="L14" s="6">
        <v>0</v>
      </c>
      <c r="M14" s="5">
        <v>48000</v>
      </c>
      <c r="N14" s="5">
        <v>15000</v>
      </c>
      <c r="O14" s="3" t="s">
        <v>13</v>
      </c>
      <c r="P14" s="3" t="s">
        <v>54</v>
      </c>
    </row>
    <row r="15" spans="1:16" x14ac:dyDescent="0.25">
      <c r="A15" s="3">
        <v>100014</v>
      </c>
      <c r="B15" s="4">
        <v>46195</v>
      </c>
      <c r="C15" s="3" t="s">
        <v>6</v>
      </c>
      <c r="D15" s="3" t="s">
        <v>7</v>
      </c>
      <c r="E15" s="3" t="s">
        <v>8</v>
      </c>
      <c r="F15" s="3" t="s">
        <v>34</v>
      </c>
      <c r="G15" s="3" t="s">
        <v>55</v>
      </c>
      <c r="H15" s="3" t="s">
        <v>56</v>
      </c>
      <c r="I15" s="3" t="s">
        <v>20</v>
      </c>
      <c r="J15" s="3">
        <v>2</v>
      </c>
      <c r="K15" s="5">
        <v>28000</v>
      </c>
      <c r="L15" s="6">
        <v>0.25</v>
      </c>
      <c r="M15" s="5">
        <v>42000</v>
      </c>
      <c r="N15" s="3"/>
      <c r="O15" s="3" t="s">
        <v>13</v>
      </c>
      <c r="P15" s="3" t="s">
        <v>44</v>
      </c>
    </row>
    <row r="16" spans="1:16" x14ac:dyDescent="0.25">
      <c r="A16" s="3">
        <v>100015</v>
      </c>
      <c r="B16" s="4">
        <v>46031</v>
      </c>
      <c r="C16" s="3" t="s">
        <v>45</v>
      </c>
      <c r="D16" s="3" t="s">
        <v>46</v>
      </c>
      <c r="E16" s="3" t="s">
        <v>33</v>
      </c>
      <c r="F16" s="3" t="s">
        <v>17</v>
      </c>
      <c r="G16" s="3" t="s">
        <v>18</v>
      </c>
      <c r="H16" s="3" t="s">
        <v>57</v>
      </c>
      <c r="I16" s="3" t="s">
        <v>12</v>
      </c>
      <c r="J16" s="3">
        <v>2</v>
      </c>
      <c r="K16" s="5">
        <v>165000</v>
      </c>
      <c r="L16" s="6">
        <v>0</v>
      </c>
      <c r="M16" s="5">
        <v>330000</v>
      </c>
      <c r="N16" s="5">
        <v>112000</v>
      </c>
      <c r="O16" s="3" t="s">
        <v>13</v>
      </c>
      <c r="P16" s="3" t="s">
        <v>30</v>
      </c>
    </row>
    <row r="17" spans="1:16" x14ac:dyDescent="0.25">
      <c r="A17" s="3">
        <v>100016</v>
      </c>
      <c r="B17" s="4">
        <v>46228</v>
      </c>
      <c r="C17" s="3" t="s">
        <v>32</v>
      </c>
      <c r="D17" s="3" t="s">
        <v>16</v>
      </c>
      <c r="E17" s="3" t="s">
        <v>27</v>
      </c>
      <c r="F17" s="3" t="s">
        <v>34</v>
      </c>
      <c r="G17" s="3" t="s">
        <v>35</v>
      </c>
      <c r="H17" s="3" t="s">
        <v>58</v>
      </c>
      <c r="I17" s="3" t="s">
        <v>12</v>
      </c>
      <c r="J17" s="3">
        <v>1</v>
      </c>
      <c r="K17" s="5">
        <v>6500</v>
      </c>
      <c r="L17" s="6">
        <v>0.1</v>
      </c>
      <c r="M17" s="5">
        <v>4680</v>
      </c>
      <c r="N17" s="5">
        <v>2200</v>
      </c>
      <c r="O17" s="3" t="s">
        <v>13</v>
      </c>
      <c r="P17" s="3" t="s">
        <v>21</v>
      </c>
    </row>
    <row r="18" spans="1:16" x14ac:dyDescent="0.25">
      <c r="A18" s="3">
        <v>100017</v>
      </c>
      <c r="B18" s="4">
        <v>46032</v>
      </c>
      <c r="C18" s="3" t="s">
        <v>25</v>
      </c>
      <c r="D18" s="3" t="s">
        <v>26</v>
      </c>
      <c r="E18" s="3" t="s">
        <v>8</v>
      </c>
      <c r="F18" s="3" t="s">
        <v>9</v>
      </c>
      <c r="G18" s="3" t="s">
        <v>42</v>
      </c>
      <c r="H18" s="3" t="s">
        <v>59</v>
      </c>
      <c r="I18" s="3" t="s">
        <v>12</v>
      </c>
      <c r="J18" s="3">
        <v>2</v>
      </c>
      <c r="K18" s="5">
        <v>42000</v>
      </c>
      <c r="L18" s="6">
        <v>0</v>
      </c>
      <c r="M18" s="5">
        <v>84000</v>
      </c>
      <c r="N18" s="5">
        <v>28000</v>
      </c>
      <c r="O18" s="3" t="s">
        <v>13</v>
      </c>
      <c r="P18" s="3" t="s">
        <v>54</v>
      </c>
    </row>
    <row r="19" spans="1:16" x14ac:dyDescent="0.25">
      <c r="A19" s="3">
        <v>100018</v>
      </c>
      <c r="B19" s="4">
        <v>46141</v>
      </c>
      <c r="C19" s="3" t="s">
        <v>45</v>
      </c>
      <c r="D19" s="3" t="s">
        <v>46</v>
      </c>
      <c r="E19" s="3" t="s">
        <v>33</v>
      </c>
      <c r="F19" s="3" t="s">
        <v>34</v>
      </c>
      <c r="G19" s="3" t="s">
        <v>35</v>
      </c>
      <c r="H19" s="3" t="s">
        <v>60</v>
      </c>
      <c r="I19" s="3" t="s">
        <v>20</v>
      </c>
      <c r="J19" s="3">
        <v>22</v>
      </c>
      <c r="K19" s="5">
        <v>6500</v>
      </c>
      <c r="L19" s="6">
        <v>0.15</v>
      </c>
      <c r="M19" s="5">
        <v>121550</v>
      </c>
      <c r="N19" s="5">
        <v>2200</v>
      </c>
      <c r="O19" s="3" t="s">
        <v>13</v>
      </c>
      <c r="P19" s="3" t="s">
        <v>21</v>
      </c>
    </row>
    <row r="20" spans="1:16" x14ac:dyDescent="0.25">
      <c r="A20" s="3">
        <v>100019</v>
      </c>
      <c r="B20" s="4">
        <v>46148</v>
      </c>
      <c r="C20" s="3" t="s">
        <v>15</v>
      </c>
      <c r="D20" s="3" t="s">
        <v>16</v>
      </c>
      <c r="E20" s="3" t="s">
        <v>33</v>
      </c>
      <c r="F20" s="3" t="s">
        <v>17</v>
      </c>
      <c r="G20" s="3" t="s">
        <v>28</v>
      </c>
      <c r="H20" s="3" t="s">
        <v>61</v>
      </c>
      <c r="I20" s="3" t="s">
        <v>20</v>
      </c>
      <c r="J20" s="3">
        <v>1</v>
      </c>
      <c r="K20" s="5">
        <v>26000</v>
      </c>
      <c r="L20" s="6">
        <v>0.15</v>
      </c>
      <c r="M20" s="5">
        <v>22100</v>
      </c>
      <c r="N20" s="5">
        <v>15000</v>
      </c>
      <c r="O20" s="3" t="s">
        <v>13</v>
      </c>
      <c r="P20" s="3" t="s">
        <v>37</v>
      </c>
    </row>
    <row r="21" spans="1:16" x14ac:dyDescent="0.25">
      <c r="A21" s="3">
        <v>100020</v>
      </c>
      <c r="B21" s="4">
        <v>46131</v>
      </c>
      <c r="C21" s="3" t="s">
        <v>6</v>
      </c>
      <c r="D21" s="3" t="s">
        <v>7</v>
      </c>
      <c r="E21" s="3" t="s">
        <v>33</v>
      </c>
      <c r="F21" s="3" t="s">
        <v>17</v>
      </c>
      <c r="G21" s="3" t="s">
        <v>28</v>
      </c>
      <c r="H21" s="3" t="s">
        <v>62</v>
      </c>
      <c r="I21" s="3" t="s">
        <v>20</v>
      </c>
      <c r="J21" s="3">
        <v>1</v>
      </c>
      <c r="K21" s="5">
        <v>26000</v>
      </c>
      <c r="L21" s="6">
        <v>0.25</v>
      </c>
      <c r="M21" s="5">
        <v>19500</v>
      </c>
      <c r="N21" s="3"/>
      <c r="O21" s="3" t="s">
        <v>13</v>
      </c>
      <c r="P21" s="3" t="s">
        <v>54</v>
      </c>
    </row>
    <row r="22" spans="1:16" x14ac:dyDescent="0.25">
      <c r="A22" s="3">
        <v>100021</v>
      </c>
      <c r="B22" s="4">
        <v>46148</v>
      </c>
      <c r="C22" s="3" t="s">
        <v>6</v>
      </c>
      <c r="D22" s="3" t="s">
        <v>7</v>
      </c>
      <c r="E22" s="3" t="s">
        <v>8</v>
      </c>
      <c r="F22" s="3" t="s">
        <v>17</v>
      </c>
      <c r="G22" s="3" t="s">
        <v>28</v>
      </c>
      <c r="H22" s="3" t="s">
        <v>63</v>
      </c>
      <c r="I22" s="3" t="s">
        <v>12</v>
      </c>
      <c r="J22" s="3">
        <v>1</v>
      </c>
      <c r="K22" s="5">
        <v>26000</v>
      </c>
      <c r="L22" s="6">
        <v>0</v>
      </c>
      <c r="M22" s="5">
        <v>26000</v>
      </c>
      <c r="N22" s="5">
        <v>15000</v>
      </c>
      <c r="O22" s="3" t="s">
        <v>13</v>
      </c>
      <c r="P22" s="3" t="s">
        <v>21</v>
      </c>
    </row>
    <row r="23" spans="1:16" x14ac:dyDescent="0.25">
      <c r="A23" s="3">
        <v>100022</v>
      </c>
      <c r="B23" s="4">
        <v>46033</v>
      </c>
      <c r="C23" s="3" t="s">
        <v>40</v>
      </c>
      <c r="D23" s="3" t="s">
        <v>41</v>
      </c>
      <c r="E23" s="3" t="s">
        <v>8</v>
      </c>
      <c r="F23" s="3" t="s">
        <v>34</v>
      </c>
      <c r="G23" s="3" t="s">
        <v>55</v>
      </c>
      <c r="H23" s="3" t="s">
        <v>56</v>
      </c>
      <c r="I23" s="3" t="s">
        <v>12</v>
      </c>
      <c r="J23" s="3">
        <v>1</v>
      </c>
      <c r="K23" s="5">
        <v>28000</v>
      </c>
      <c r="L23" s="6">
        <v>0.05</v>
      </c>
      <c r="M23" s="5">
        <v>26600</v>
      </c>
      <c r="N23" s="5">
        <v>16000</v>
      </c>
      <c r="O23" s="3" t="s">
        <v>13</v>
      </c>
      <c r="P23" s="3" t="s">
        <v>37</v>
      </c>
    </row>
    <row r="24" spans="1:16" x14ac:dyDescent="0.25">
      <c r="A24" s="3">
        <v>100023</v>
      </c>
      <c r="B24" s="4">
        <v>46052</v>
      </c>
      <c r="C24" s="3" t="s">
        <v>22</v>
      </c>
      <c r="D24" s="3" t="s">
        <v>7</v>
      </c>
      <c r="E24" s="3" t="s">
        <v>27</v>
      </c>
      <c r="F24" s="3" t="s">
        <v>17</v>
      </c>
      <c r="G24" s="3" t="s">
        <v>23</v>
      </c>
      <c r="H24" s="3" t="s">
        <v>64</v>
      </c>
      <c r="I24" s="3" t="s">
        <v>20</v>
      </c>
      <c r="J24" s="3">
        <v>1</v>
      </c>
      <c r="K24" s="5">
        <v>32000</v>
      </c>
      <c r="L24" s="6">
        <v>0.15</v>
      </c>
      <c r="M24" s="5">
        <v>27200</v>
      </c>
      <c r="N24" s="5">
        <v>19000</v>
      </c>
      <c r="O24" s="3" t="s">
        <v>13</v>
      </c>
      <c r="P24" s="3" t="s">
        <v>48</v>
      </c>
    </row>
    <row r="25" spans="1:16" x14ac:dyDescent="0.25">
      <c r="A25" s="3">
        <v>100024</v>
      </c>
      <c r="B25" s="4">
        <v>46150</v>
      </c>
      <c r="C25" s="3" t="s">
        <v>22</v>
      </c>
      <c r="D25" s="3" t="s">
        <v>7</v>
      </c>
      <c r="E25" s="3" t="s">
        <v>33</v>
      </c>
      <c r="F25" s="3" t="s">
        <v>9</v>
      </c>
      <c r="G25" s="3" t="s">
        <v>10</v>
      </c>
      <c r="H25" s="3" t="s">
        <v>65</v>
      </c>
      <c r="I25" s="3" t="s">
        <v>12</v>
      </c>
      <c r="J25" s="3">
        <v>2</v>
      </c>
      <c r="K25" s="5">
        <v>58000</v>
      </c>
      <c r="L25" s="6">
        <v>0.2</v>
      </c>
      <c r="M25" s="5">
        <v>92800</v>
      </c>
      <c r="N25" s="3"/>
      <c r="O25" s="3" t="s">
        <v>66</v>
      </c>
      <c r="P25" s="3" t="s">
        <v>30</v>
      </c>
    </row>
    <row r="26" spans="1:16" x14ac:dyDescent="0.25">
      <c r="A26" s="3">
        <v>100025</v>
      </c>
      <c r="B26" s="4">
        <v>46027</v>
      </c>
      <c r="C26" s="3" t="s">
        <v>25</v>
      </c>
      <c r="D26" s="3" t="s">
        <v>26</v>
      </c>
      <c r="E26" s="3" t="s">
        <v>33</v>
      </c>
      <c r="F26" s="3" t="s">
        <v>9</v>
      </c>
      <c r="G26" s="3" t="s">
        <v>10</v>
      </c>
      <c r="H26" s="3" t="s">
        <v>67</v>
      </c>
      <c r="I26" s="3" t="s">
        <v>20</v>
      </c>
      <c r="J26" s="3">
        <v>5</v>
      </c>
      <c r="K26" s="5">
        <v>58000</v>
      </c>
      <c r="L26" s="6">
        <v>0.05</v>
      </c>
      <c r="M26" s="5">
        <v>275500</v>
      </c>
      <c r="N26" s="5">
        <v>39000</v>
      </c>
      <c r="O26" s="3" t="s">
        <v>13</v>
      </c>
      <c r="P26" s="3" t="s">
        <v>48</v>
      </c>
    </row>
    <row r="27" spans="1:16" x14ac:dyDescent="0.25">
      <c r="A27" s="3">
        <v>100026</v>
      </c>
      <c r="B27" s="4">
        <v>46203</v>
      </c>
      <c r="C27" s="3" t="s">
        <v>40</v>
      </c>
      <c r="D27" s="3" t="s">
        <v>41</v>
      </c>
      <c r="E27" s="3" t="s">
        <v>33</v>
      </c>
      <c r="F27" s="3" t="s">
        <v>34</v>
      </c>
      <c r="G27" s="3" t="s">
        <v>50</v>
      </c>
      <c r="H27" s="3" t="s">
        <v>68</v>
      </c>
      <c r="I27" s="3" t="s">
        <v>20</v>
      </c>
      <c r="J27" s="3">
        <v>2</v>
      </c>
      <c r="K27" s="5">
        <v>9000</v>
      </c>
      <c r="L27" s="6">
        <v>0.1</v>
      </c>
      <c r="M27" s="5">
        <v>16200</v>
      </c>
      <c r="N27" s="3"/>
      <c r="O27" s="3" t="s">
        <v>13</v>
      </c>
      <c r="P27" s="3" t="s">
        <v>14</v>
      </c>
    </row>
    <row r="28" spans="1:16" x14ac:dyDescent="0.25">
      <c r="A28" s="3">
        <v>100027</v>
      </c>
      <c r="B28" s="4">
        <v>46142</v>
      </c>
      <c r="C28" s="3" t="s">
        <v>25</v>
      </c>
      <c r="D28" s="3" t="s">
        <v>26</v>
      </c>
      <c r="E28" s="3" t="s">
        <v>8</v>
      </c>
      <c r="F28" s="3" t="s">
        <v>9</v>
      </c>
      <c r="G28" s="3" t="s">
        <v>10</v>
      </c>
      <c r="H28" s="3" t="s">
        <v>69</v>
      </c>
      <c r="I28" s="3" t="s">
        <v>12</v>
      </c>
      <c r="J28" s="3">
        <v>4</v>
      </c>
      <c r="K28" s="5">
        <v>58000</v>
      </c>
      <c r="L28" s="6">
        <v>0.05</v>
      </c>
      <c r="M28" s="5">
        <v>220400</v>
      </c>
      <c r="N28" s="5">
        <v>39000</v>
      </c>
      <c r="O28" s="3" t="s">
        <v>13</v>
      </c>
      <c r="P28" s="3" t="s">
        <v>48</v>
      </c>
    </row>
    <row r="29" spans="1:16" x14ac:dyDescent="0.25">
      <c r="A29" s="3">
        <v>100028</v>
      </c>
      <c r="B29" s="4">
        <v>46156</v>
      </c>
      <c r="C29" s="3" t="s">
        <v>22</v>
      </c>
      <c r="D29" s="3" t="s">
        <v>7</v>
      </c>
      <c r="E29" s="3" t="s">
        <v>27</v>
      </c>
      <c r="F29" s="3" t="s">
        <v>17</v>
      </c>
      <c r="G29" s="3" t="s">
        <v>28</v>
      </c>
      <c r="H29" s="3" t="s">
        <v>70</v>
      </c>
      <c r="I29" s="3" t="s">
        <v>20</v>
      </c>
      <c r="J29" s="3">
        <v>22</v>
      </c>
      <c r="K29" s="5">
        <v>26000</v>
      </c>
      <c r="L29" s="6">
        <v>0.25</v>
      </c>
      <c r="M29" s="5">
        <v>429000</v>
      </c>
      <c r="N29" s="5">
        <v>15000</v>
      </c>
      <c r="O29" s="3" t="s">
        <v>13</v>
      </c>
      <c r="P29" s="3" t="s">
        <v>37</v>
      </c>
    </row>
    <row r="30" spans="1:16" x14ac:dyDescent="0.25">
      <c r="A30" s="3">
        <v>100029</v>
      </c>
      <c r="B30" s="4">
        <v>46103</v>
      </c>
      <c r="C30" s="3" t="s">
        <v>22</v>
      </c>
      <c r="D30" s="3" t="s">
        <v>7</v>
      </c>
      <c r="E30" s="3" t="s">
        <v>33</v>
      </c>
      <c r="F30" s="3" t="s">
        <v>9</v>
      </c>
      <c r="G30" s="3" t="s">
        <v>10</v>
      </c>
      <c r="H30" s="3" t="s">
        <v>71</v>
      </c>
      <c r="I30" s="3" t="s">
        <v>20</v>
      </c>
      <c r="J30" s="3">
        <v>5</v>
      </c>
      <c r="K30" s="5">
        <v>58000</v>
      </c>
      <c r="L30" s="6">
        <v>0.1</v>
      </c>
      <c r="M30" s="5">
        <v>261000</v>
      </c>
      <c r="N30" s="3"/>
      <c r="O30" s="3" t="s">
        <v>13</v>
      </c>
      <c r="P30" s="3" t="s">
        <v>14</v>
      </c>
    </row>
    <row r="31" spans="1:16" x14ac:dyDescent="0.25">
      <c r="A31" s="3">
        <v>100030</v>
      </c>
      <c r="B31" s="4">
        <v>46209</v>
      </c>
      <c r="C31" s="3" t="s">
        <v>25</v>
      </c>
      <c r="D31" s="3" t="s">
        <v>26</v>
      </c>
      <c r="E31" s="3" t="s">
        <v>27</v>
      </c>
      <c r="F31" s="3" t="s">
        <v>17</v>
      </c>
      <c r="G31" s="3" t="s">
        <v>28</v>
      </c>
      <c r="H31" s="3" t="s">
        <v>72</v>
      </c>
      <c r="I31" s="3" t="s">
        <v>12</v>
      </c>
      <c r="J31" s="3">
        <v>1</v>
      </c>
      <c r="K31" s="5">
        <v>26000</v>
      </c>
      <c r="L31" s="6">
        <v>0.05</v>
      </c>
      <c r="M31" s="5">
        <v>24700</v>
      </c>
      <c r="N31" s="5">
        <v>15000</v>
      </c>
      <c r="O31" s="3" t="s">
        <v>13</v>
      </c>
      <c r="P31" s="3" t="s">
        <v>48</v>
      </c>
    </row>
    <row r="32" spans="1:16" x14ac:dyDescent="0.25">
      <c r="A32" s="3">
        <v>100031</v>
      </c>
      <c r="B32" s="4">
        <v>46182</v>
      </c>
      <c r="C32" s="3" t="s">
        <v>22</v>
      </c>
      <c r="D32" s="3" t="s">
        <v>7</v>
      </c>
      <c r="E32" s="3" t="s">
        <v>33</v>
      </c>
      <c r="F32" s="3" t="s">
        <v>9</v>
      </c>
      <c r="G32" s="3" t="s">
        <v>10</v>
      </c>
      <c r="H32" s="3" t="s">
        <v>73</v>
      </c>
      <c r="I32" s="3" t="s">
        <v>12</v>
      </c>
      <c r="J32" s="3">
        <v>2</v>
      </c>
      <c r="K32" s="5">
        <v>58000</v>
      </c>
      <c r="L32" s="6">
        <v>0.15</v>
      </c>
      <c r="M32" s="5">
        <v>98600</v>
      </c>
      <c r="N32" s="5">
        <v>39000</v>
      </c>
      <c r="O32" s="3" t="s">
        <v>13</v>
      </c>
      <c r="P32" s="3" t="s">
        <v>74</v>
      </c>
    </row>
    <row r="33" spans="1:16" x14ac:dyDescent="0.25">
      <c r="A33" s="3">
        <v>100032</v>
      </c>
      <c r="B33" s="4">
        <v>46109</v>
      </c>
      <c r="C33" s="3" t="s">
        <v>45</v>
      </c>
      <c r="D33" s="3" t="s">
        <v>46</v>
      </c>
      <c r="E33" s="3" t="s">
        <v>27</v>
      </c>
      <c r="F33" s="3" t="s">
        <v>9</v>
      </c>
      <c r="G33" s="3" t="s">
        <v>52</v>
      </c>
      <c r="H33" s="3" t="s">
        <v>39</v>
      </c>
      <c r="I33" s="3" t="s">
        <v>12</v>
      </c>
      <c r="J33" s="3">
        <v>1</v>
      </c>
      <c r="K33" s="5">
        <v>24000</v>
      </c>
      <c r="L33" s="6">
        <v>0.05</v>
      </c>
      <c r="M33" s="5">
        <v>22800</v>
      </c>
      <c r="N33" s="5">
        <v>15000</v>
      </c>
      <c r="O33" s="3" t="s">
        <v>13</v>
      </c>
      <c r="P33" s="3" t="s">
        <v>21</v>
      </c>
    </row>
    <row r="34" spans="1:16" x14ac:dyDescent="0.25">
      <c r="A34" s="3">
        <v>100033</v>
      </c>
      <c r="B34" s="4">
        <v>46152</v>
      </c>
      <c r="C34" s="3" t="s">
        <v>15</v>
      </c>
      <c r="D34" s="3" t="s">
        <v>16</v>
      </c>
      <c r="E34" s="3" t="s">
        <v>33</v>
      </c>
      <c r="F34" s="3" t="s">
        <v>9</v>
      </c>
      <c r="G34" s="3" t="s">
        <v>10</v>
      </c>
      <c r="H34" s="3" t="s">
        <v>75</v>
      </c>
      <c r="I34" s="3" t="s">
        <v>12</v>
      </c>
      <c r="J34" s="3">
        <v>3</v>
      </c>
      <c r="K34" s="5">
        <v>58000</v>
      </c>
      <c r="L34" s="6">
        <v>0</v>
      </c>
      <c r="M34" s="5">
        <v>174000</v>
      </c>
      <c r="N34" s="5">
        <v>39000</v>
      </c>
      <c r="O34" s="3" t="s">
        <v>13</v>
      </c>
      <c r="P34" s="3" t="s">
        <v>74</v>
      </c>
    </row>
    <row r="35" spans="1:16" x14ac:dyDescent="0.25">
      <c r="A35" s="3">
        <v>100034</v>
      </c>
      <c r="B35" s="4">
        <v>46157</v>
      </c>
      <c r="C35" s="3" t="s">
        <v>45</v>
      </c>
      <c r="D35" s="3" t="s">
        <v>46</v>
      </c>
      <c r="E35" s="3" t="s">
        <v>33</v>
      </c>
      <c r="F35" s="3" t="s">
        <v>9</v>
      </c>
      <c r="G35" s="3" t="s">
        <v>10</v>
      </c>
      <c r="H35" s="3" t="s">
        <v>76</v>
      </c>
      <c r="I35" s="3" t="s">
        <v>20</v>
      </c>
      <c r="J35" s="3">
        <v>1</v>
      </c>
      <c r="K35" s="5">
        <v>58000</v>
      </c>
      <c r="L35" s="6">
        <v>0.15</v>
      </c>
      <c r="M35" s="5">
        <v>49300</v>
      </c>
      <c r="N35" s="5">
        <v>39000</v>
      </c>
      <c r="O35" s="3" t="s">
        <v>13</v>
      </c>
      <c r="P35" s="3" t="s">
        <v>37</v>
      </c>
    </row>
    <row r="36" spans="1:16" x14ac:dyDescent="0.25">
      <c r="A36" s="3">
        <v>100035</v>
      </c>
      <c r="B36" s="4">
        <v>46076</v>
      </c>
      <c r="C36" s="3" t="s">
        <v>25</v>
      </c>
      <c r="D36" s="3" t="s">
        <v>26</v>
      </c>
      <c r="E36" s="3" t="s">
        <v>33</v>
      </c>
      <c r="F36" s="3" t="s">
        <v>34</v>
      </c>
      <c r="G36" s="3" t="s">
        <v>55</v>
      </c>
      <c r="H36" s="3" t="s">
        <v>77</v>
      </c>
      <c r="I36" s="3" t="s">
        <v>20</v>
      </c>
      <c r="J36" s="3">
        <v>25</v>
      </c>
      <c r="K36" s="5">
        <v>28000</v>
      </c>
      <c r="L36" s="6">
        <v>0.05</v>
      </c>
      <c r="M36" s="5">
        <v>665000</v>
      </c>
      <c r="N36" s="5">
        <v>16000</v>
      </c>
      <c r="O36" s="3" t="s">
        <v>13</v>
      </c>
      <c r="P36" s="3" t="s">
        <v>54</v>
      </c>
    </row>
    <row r="37" spans="1:16" x14ac:dyDescent="0.25">
      <c r="A37" s="3">
        <v>100036</v>
      </c>
      <c r="B37" s="4">
        <v>46076</v>
      </c>
      <c r="C37" s="3" t="s">
        <v>25</v>
      </c>
      <c r="D37" s="3" t="s">
        <v>26</v>
      </c>
      <c r="E37" s="3" t="s">
        <v>33</v>
      </c>
      <c r="F37" s="3" t="s">
        <v>17</v>
      </c>
      <c r="G37" s="3" t="s">
        <v>23</v>
      </c>
      <c r="H37" s="3" t="s">
        <v>78</v>
      </c>
      <c r="I37" s="3" t="s">
        <v>12</v>
      </c>
      <c r="J37" s="3">
        <v>2</v>
      </c>
      <c r="K37" s="5">
        <v>32000</v>
      </c>
      <c r="L37" s="6">
        <v>0.05</v>
      </c>
      <c r="M37" s="5">
        <v>60800</v>
      </c>
      <c r="N37" s="5">
        <v>19000</v>
      </c>
      <c r="O37" s="3" t="s">
        <v>66</v>
      </c>
      <c r="P37" s="3" t="s">
        <v>37</v>
      </c>
    </row>
    <row r="38" spans="1:16" x14ac:dyDescent="0.25">
      <c r="A38" s="3">
        <v>100037</v>
      </c>
      <c r="B38" s="4">
        <v>46124</v>
      </c>
      <c r="C38" s="3" t="s">
        <v>22</v>
      </c>
      <c r="D38" s="3" t="s">
        <v>7</v>
      </c>
      <c r="E38" s="3" t="s">
        <v>33</v>
      </c>
      <c r="F38" s="3" t="s">
        <v>34</v>
      </c>
      <c r="G38" s="3" t="s">
        <v>55</v>
      </c>
      <c r="H38" s="3" t="s">
        <v>79</v>
      </c>
      <c r="I38" s="3" t="s">
        <v>12</v>
      </c>
      <c r="J38" s="3">
        <v>2</v>
      </c>
      <c r="K38" s="5">
        <v>28000</v>
      </c>
      <c r="L38" s="6">
        <v>0</v>
      </c>
      <c r="M38" s="5">
        <v>56000</v>
      </c>
      <c r="N38" s="5">
        <v>16000</v>
      </c>
      <c r="O38" s="3" t="s">
        <v>13</v>
      </c>
      <c r="P38" s="3" t="s">
        <v>30</v>
      </c>
    </row>
    <row r="39" spans="1:16" x14ac:dyDescent="0.25">
      <c r="A39" s="3">
        <v>100038</v>
      </c>
      <c r="B39" s="4">
        <v>46037</v>
      </c>
      <c r="C39" s="3" t="s">
        <v>25</v>
      </c>
      <c r="D39" s="3" t="s">
        <v>26</v>
      </c>
      <c r="E39" s="3" t="s">
        <v>27</v>
      </c>
      <c r="F39" s="3" t="s">
        <v>17</v>
      </c>
      <c r="G39" s="3" t="s">
        <v>23</v>
      </c>
      <c r="H39" s="3" t="s">
        <v>80</v>
      </c>
      <c r="I39" s="3" t="s">
        <v>20</v>
      </c>
      <c r="J39" s="3">
        <v>2</v>
      </c>
      <c r="K39" s="5">
        <v>32000</v>
      </c>
      <c r="L39" s="6">
        <v>0</v>
      </c>
      <c r="M39" s="5">
        <v>64000</v>
      </c>
      <c r="N39" s="5">
        <v>19000</v>
      </c>
      <c r="O39" s="3" t="s">
        <v>13</v>
      </c>
      <c r="P39" s="3" t="s">
        <v>74</v>
      </c>
    </row>
    <row r="40" spans="1:16" x14ac:dyDescent="0.25">
      <c r="A40" s="3">
        <v>100039</v>
      </c>
      <c r="B40" s="4">
        <v>46116</v>
      </c>
      <c r="C40" s="3" t="s">
        <v>6</v>
      </c>
      <c r="D40" s="3" t="s">
        <v>7</v>
      </c>
      <c r="E40" s="3" t="s">
        <v>27</v>
      </c>
      <c r="F40" s="3" t="s">
        <v>34</v>
      </c>
      <c r="G40" s="3" t="s">
        <v>35</v>
      </c>
      <c r="H40" s="3" t="s">
        <v>81</v>
      </c>
      <c r="I40" s="3" t="s">
        <v>12</v>
      </c>
      <c r="J40" s="3">
        <v>3</v>
      </c>
      <c r="K40" s="5">
        <v>6500</v>
      </c>
      <c r="L40" s="6">
        <v>0.1</v>
      </c>
      <c r="M40" s="5">
        <v>17550</v>
      </c>
      <c r="N40" s="5">
        <v>2200</v>
      </c>
      <c r="O40" s="3" t="s">
        <v>13</v>
      </c>
      <c r="P40" s="3" t="s">
        <v>30</v>
      </c>
    </row>
    <row r="41" spans="1:16" x14ac:dyDescent="0.25">
      <c r="A41" s="3">
        <v>100040</v>
      </c>
      <c r="B41" s="4">
        <v>46145</v>
      </c>
      <c r="C41" s="3" t="s">
        <v>22</v>
      </c>
      <c r="D41" s="3" t="s">
        <v>7</v>
      </c>
      <c r="E41" s="3" t="s">
        <v>8</v>
      </c>
      <c r="F41" s="3" t="s">
        <v>9</v>
      </c>
      <c r="G41" s="3" t="s">
        <v>10</v>
      </c>
      <c r="H41" s="3" t="s">
        <v>82</v>
      </c>
      <c r="I41" s="3" t="s">
        <v>20</v>
      </c>
      <c r="J41" s="3">
        <v>1</v>
      </c>
      <c r="K41" s="5">
        <v>58000</v>
      </c>
      <c r="L41" s="6">
        <v>0.05</v>
      </c>
      <c r="M41" s="5">
        <v>55100</v>
      </c>
      <c r="N41" s="5">
        <v>39000</v>
      </c>
      <c r="O41" s="3" t="s">
        <v>13</v>
      </c>
      <c r="P41" s="3" t="s">
        <v>21</v>
      </c>
    </row>
    <row r="42" spans="1:16" x14ac:dyDescent="0.25">
      <c r="A42" s="3">
        <v>100041</v>
      </c>
      <c r="B42" s="4">
        <v>46035</v>
      </c>
      <c r="C42" s="3" t="s">
        <v>45</v>
      </c>
      <c r="D42" s="3" t="s">
        <v>46</v>
      </c>
      <c r="E42" s="3" t="s">
        <v>8</v>
      </c>
      <c r="F42" s="3" t="s">
        <v>17</v>
      </c>
      <c r="G42" s="3" t="s">
        <v>23</v>
      </c>
      <c r="H42" s="3" t="s">
        <v>83</v>
      </c>
      <c r="I42" s="3" t="s">
        <v>20</v>
      </c>
      <c r="J42" s="3">
        <v>3</v>
      </c>
      <c r="K42" s="5">
        <v>32000</v>
      </c>
      <c r="L42" s="6">
        <v>0.1</v>
      </c>
      <c r="M42" s="5">
        <v>86400</v>
      </c>
      <c r="N42" s="5">
        <v>19000</v>
      </c>
      <c r="O42" s="3" t="s">
        <v>13</v>
      </c>
      <c r="P42" s="3" t="s">
        <v>37</v>
      </c>
    </row>
    <row r="43" spans="1:16" x14ac:dyDescent="0.25">
      <c r="A43" s="3">
        <v>100042</v>
      </c>
      <c r="B43" s="4">
        <v>46151</v>
      </c>
      <c r="C43" s="3" t="s">
        <v>40</v>
      </c>
      <c r="D43" s="3" t="s">
        <v>41</v>
      </c>
      <c r="E43" s="3" t="s">
        <v>8</v>
      </c>
      <c r="F43" s="3" t="s">
        <v>17</v>
      </c>
      <c r="G43" s="3" t="s">
        <v>18</v>
      </c>
      <c r="H43" s="3" t="s">
        <v>84</v>
      </c>
      <c r="I43" s="3" t="s">
        <v>20</v>
      </c>
      <c r="J43" s="3">
        <v>2</v>
      </c>
      <c r="K43" s="5">
        <v>165000</v>
      </c>
      <c r="L43" s="6">
        <v>0</v>
      </c>
      <c r="M43" s="5">
        <v>330000</v>
      </c>
      <c r="N43" s="5">
        <v>112000</v>
      </c>
      <c r="O43" s="3" t="s">
        <v>13</v>
      </c>
      <c r="P43" s="3" t="s">
        <v>14</v>
      </c>
    </row>
    <row r="44" spans="1:16" x14ac:dyDescent="0.25">
      <c r="A44" s="3">
        <v>100043</v>
      </c>
      <c r="B44" s="4">
        <v>46188</v>
      </c>
      <c r="C44" s="3" t="s">
        <v>40</v>
      </c>
      <c r="D44" s="3" t="s">
        <v>41</v>
      </c>
      <c r="E44" s="3" t="s">
        <v>33</v>
      </c>
      <c r="F44" s="3" t="s">
        <v>9</v>
      </c>
      <c r="G44" s="3" t="s">
        <v>52</v>
      </c>
      <c r="H44" s="3" t="s">
        <v>85</v>
      </c>
      <c r="I44" s="3" t="s">
        <v>20</v>
      </c>
      <c r="J44" s="3">
        <v>2</v>
      </c>
      <c r="K44" s="5">
        <v>24000</v>
      </c>
      <c r="L44" s="6">
        <v>0.15</v>
      </c>
      <c r="M44" s="5">
        <v>40800</v>
      </c>
      <c r="N44" s="5">
        <v>15000</v>
      </c>
      <c r="O44" s="3" t="s">
        <v>13</v>
      </c>
      <c r="P44" s="3" t="s">
        <v>37</v>
      </c>
    </row>
    <row r="45" spans="1:16" x14ac:dyDescent="0.25">
      <c r="A45" s="3">
        <v>100044</v>
      </c>
      <c r="B45" s="4">
        <v>46167</v>
      </c>
      <c r="C45" s="3" t="s">
        <v>22</v>
      </c>
      <c r="D45" s="3" t="s">
        <v>7</v>
      </c>
      <c r="E45" s="3" t="s">
        <v>27</v>
      </c>
      <c r="F45" s="3" t="s">
        <v>9</v>
      </c>
      <c r="G45" s="3" t="s">
        <v>52</v>
      </c>
      <c r="H45" s="3" t="s">
        <v>86</v>
      </c>
      <c r="I45" s="3" t="s">
        <v>20</v>
      </c>
      <c r="J45" s="3">
        <v>1</v>
      </c>
      <c r="K45" s="5">
        <v>24000</v>
      </c>
      <c r="L45" s="6">
        <v>0.2</v>
      </c>
      <c r="M45" s="5">
        <v>19200</v>
      </c>
      <c r="N45" s="5">
        <v>15000</v>
      </c>
      <c r="O45" s="3" t="s">
        <v>13</v>
      </c>
      <c r="P45" s="3" t="s">
        <v>44</v>
      </c>
    </row>
    <row r="46" spans="1:16" x14ac:dyDescent="0.25">
      <c r="A46" s="3">
        <v>100045</v>
      </c>
      <c r="B46" s="4">
        <v>46029</v>
      </c>
      <c r="C46" s="3" t="s">
        <v>32</v>
      </c>
      <c r="D46" s="3" t="s">
        <v>16</v>
      </c>
      <c r="E46" s="3" t="s">
        <v>27</v>
      </c>
      <c r="F46" s="3" t="s">
        <v>17</v>
      </c>
      <c r="G46" s="3" t="s">
        <v>23</v>
      </c>
      <c r="H46" s="3" t="s">
        <v>87</v>
      </c>
      <c r="I46" s="3" t="s">
        <v>20</v>
      </c>
      <c r="J46" s="3">
        <v>1</v>
      </c>
      <c r="K46" s="5">
        <v>32000</v>
      </c>
      <c r="L46" s="6">
        <v>0</v>
      </c>
      <c r="M46" s="5">
        <v>32000</v>
      </c>
      <c r="N46" s="5">
        <v>19000</v>
      </c>
      <c r="O46" s="3" t="s">
        <v>66</v>
      </c>
      <c r="P46" s="3" t="s">
        <v>44</v>
      </c>
    </row>
    <row r="47" spans="1:16" x14ac:dyDescent="0.25">
      <c r="A47" s="3">
        <v>100046</v>
      </c>
      <c r="B47" s="4">
        <v>46145</v>
      </c>
      <c r="C47" s="3" t="s">
        <v>25</v>
      </c>
      <c r="D47" s="3" t="s">
        <v>26</v>
      </c>
      <c r="E47" s="3" t="s">
        <v>33</v>
      </c>
      <c r="F47" s="3" t="s">
        <v>9</v>
      </c>
      <c r="G47" s="3" t="s">
        <v>52</v>
      </c>
      <c r="H47" s="3" t="s">
        <v>88</v>
      </c>
      <c r="I47" s="3" t="s">
        <v>20</v>
      </c>
      <c r="J47" s="3">
        <v>3</v>
      </c>
      <c r="K47" s="5">
        <v>24000</v>
      </c>
      <c r="L47" s="6">
        <v>0.05</v>
      </c>
      <c r="M47" s="5">
        <v>68400</v>
      </c>
      <c r="N47" s="5">
        <v>15000</v>
      </c>
      <c r="O47" s="3" t="s">
        <v>13</v>
      </c>
      <c r="P47" s="3" t="s">
        <v>44</v>
      </c>
    </row>
    <row r="48" spans="1:16" x14ac:dyDescent="0.25">
      <c r="A48" s="3">
        <v>100047</v>
      </c>
      <c r="B48" s="4">
        <v>46132</v>
      </c>
      <c r="C48" s="3" t="s">
        <v>15</v>
      </c>
      <c r="D48" s="3" t="s">
        <v>16</v>
      </c>
      <c r="E48" s="3" t="s">
        <v>33</v>
      </c>
      <c r="F48" s="3" t="s">
        <v>9</v>
      </c>
      <c r="G48" s="3" t="s">
        <v>10</v>
      </c>
      <c r="H48" s="3" t="s">
        <v>89</v>
      </c>
      <c r="I48" s="3" t="s">
        <v>20</v>
      </c>
      <c r="J48" s="3">
        <v>4</v>
      </c>
      <c r="K48" s="5">
        <v>58000</v>
      </c>
      <c r="L48" s="6">
        <v>0</v>
      </c>
      <c r="M48" s="5">
        <v>232000</v>
      </c>
      <c r="N48" s="5">
        <v>39000</v>
      </c>
      <c r="O48" s="3" t="s">
        <v>13</v>
      </c>
      <c r="P48" s="3" t="s">
        <v>74</v>
      </c>
    </row>
    <row r="49" spans="1:16" x14ac:dyDescent="0.25">
      <c r="A49" s="3">
        <v>100048</v>
      </c>
      <c r="B49" s="4">
        <v>46039</v>
      </c>
      <c r="C49" s="3" t="s">
        <v>25</v>
      </c>
      <c r="D49" s="3" t="s">
        <v>26</v>
      </c>
      <c r="E49" s="3" t="s">
        <v>33</v>
      </c>
      <c r="F49" s="3" t="s">
        <v>17</v>
      </c>
      <c r="G49" s="3" t="s">
        <v>28</v>
      </c>
      <c r="H49" s="3" t="s">
        <v>90</v>
      </c>
      <c r="I49" s="3" t="s">
        <v>12</v>
      </c>
      <c r="J49" s="3">
        <v>2</v>
      </c>
      <c r="K49" s="5">
        <v>26000</v>
      </c>
      <c r="L49" s="6">
        <v>0.05</v>
      </c>
      <c r="M49" s="5">
        <v>49400</v>
      </c>
      <c r="N49" s="5">
        <v>15000</v>
      </c>
      <c r="O49" s="3" t="s">
        <v>13</v>
      </c>
      <c r="P49" s="3" t="s">
        <v>30</v>
      </c>
    </row>
    <row r="50" spans="1:16" x14ac:dyDescent="0.25">
      <c r="A50" s="3">
        <v>100049</v>
      </c>
      <c r="B50" s="4">
        <v>46182</v>
      </c>
      <c r="C50" s="3" t="s">
        <v>40</v>
      </c>
      <c r="D50" s="3" t="s">
        <v>41</v>
      </c>
      <c r="E50" s="3" t="s">
        <v>33</v>
      </c>
      <c r="F50" s="3" t="s">
        <v>34</v>
      </c>
      <c r="G50" s="3" t="s">
        <v>35</v>
      </c>
      <c r="H50" s="3" t="s">
        <v>75</v>
      </c>
      <c r="I50" s="3" t="s">
        <v>12</v>
      </c>
      <c r="J50" s="3">
        <v>5</v>
      </c>
      <c r="K50" s="5">
        <v>6500</v>
      </c>
      <c r="L50" s="6">
        <v>0.05</v>
      </c>
      <c r="M50" s="5">
        <v>30875</v>
      </c>
      <c r="N50" s="5">
        <v>2200</v>
      </c>
      <c r="O50" s="3" t="s">
        <v>13</v>
      </c>
      <c r="P50" s="3" t="s">
        <v>74</v>
      </c>
    </row>
    <row r="51" spans="1:16" x14ac:dyDescent="0.25">
      <c r="A51" s="3">
        <v>100050</v>
      </c>
      <c r="B51" s="4">
        <v>46056</v>
      </c>
      <c r="C51" s="3" t="s">
        <v>25</v>
      </c>
      <c r="D51" s="3" t="s">
        <v>26</v>
      </c>
      <c r="E51" s="3" t="s">
        <v>33</v>
      </c>
      <c r="F51" s="3" t="s">
        <v>34</v>
      </c>
      <c r="G51" s="3" t="s">
        <v>50</v>
      </c>
      <c r="H51" s="3" t="s">
        <v>91</v>
      </c>
      <c r="I51" s="3" t="s">
        <v>20</v>
      </c>
      <c r="J51" s="3">
        <v>3</v>
      </c>
      <c r="K51" s="5">
        <v>9000</v>
      </c>
      <c r="L51" s="6">
        <v>0</v>
      </c>
      <c r="M51" s="5">
        <v>27000</v>
      </c>
      <c r="N51" s="5">
        <v>3500</v>
      </c>
      <c r="O51" s="3" t="s">
        <v>13</v>
      </c>
      <c r="P51" s="3" t="s">
        <v>14</v>
      </c>
    </row>
    <row r="52" spans="1:16" x14ac:dyDescent="0.25">
      <c r="A52" s="3">
        <v>100051</v>
      </c>
      <c r="B52" s="4">
        <v>46035</v>
      </c>
      <c r="C52" s="3" t="s">
        <v>6</v>
      </c>
      <c r="D52" s="3" t="s">
        <v>7</v>
      </c>
      <c r="E52" s="3" t="s">
        <v>27</v>
      </c>
      <c r="F52" s="3" t="s">
        <v>9</v>
      </c>
      <c r="G52" s="3" t="s">
        <v>42</v>
      </c>
      <c r="H52" s="3" t="s">
        <v>43</v>
      </c>
      <c r="I52" s="3" t="s">
        <v>12</v>
      </c>
      <c r="J52" s="3">
        <v>2</v>
      </c>
      <c r="K52" s="5">
        <v>42000</v>
      </c>
      <c r="L52" s="6">
        <v>0.1</v>
      </c>
      <c r="M52" s="5">
        <v>75600</v>
      </c>
      <c r="N52" s="3"/>
      <c r="O52" s="3" t="s">
        <v>13</v>
      </c>
      <c r="P52" s="3" t="s">
        <v>14</v>
      </c>
    </row>
    <row r="53" spans="1:16" x14ac:dyDescent="0.25">
      <c r="A53" s="3">
        <v>100052</v>
      </c>
      <c r="B53" s="4">
        <v>46033</v>
      </c>
      <c r="C53" s="3" t="s">
        <v>45</v>
      </c>
      <c r="D53" s="3" t="s">
        <v>46</v>
      </c>
      <c r="E53" s="3" t="s">
        <v>8</v>
      </c>
      <c r="F53" s="3" t="s">
        <v>17</v>
      </c>
      <c r="G53" s="3" t="s">
        <v>18</v>
      </c>
      <c r="H53" s="3" t="s">
        <v>92</v>
      </c>
      <c r="I53" s="3" t="s">
        <v>20</v>
      </c>
      <c r="J53" s="3">
        <v>4</v>
      </c>
      <c r="K53" s="5">
        <v>165000</v>
      </c>
      <c r="L53" s="6">
        <v>0</v>
      </c>
      <c r="M53" s="5">
        <v>660000</v>
      </c>
      <c r="N53" s="5">
        <v>112000</v>
      </c>
      <c r="O53" s="3" t="s">
        <v>13</v>
      </c>
      <c r="P53" s="3" t="s">
        <v>14</v>
      </c>
    </row>
    <row r="54" spans="1:16" x14ac:dyDescent="0.25">
      <c r="A54" s="3">
        <v>100053</v>
      </c>
      <c r="B54" s="4">
        <v>46180</v>
      </c>
      <c r="C54" s="3" t="s">
        <v>25</v>
      </c>
      <c r="D54" s="3" t="s">
        <v>26</v>
      </c>
      <c r="E54" s="3" t="s">
        <v>33</v>
      </c>
      <c r="F54" s="3" t="s">
        <v>34</v>
      </c>
      <c r="G54" s="3" t="s">
        <v>35</v>
      </c>
      <c r="H54" s="3" t="s">
        <v>93</v>
      </c>
      <c r="I54" s="3" t="s">
        <v>20</v>
      </c>
      <c r="J54" s="3">
        <v>4</v>
      </c>
      <c r="K54" s="5">
        <v>6500</v>
      </c>
      <c r="L54" s="6">
        <v>0</v>
      </c>
      <c r="M54" s="5">
        <v>26000</v>
      </c>
      <c r="N54" s="5">
        <v>2200</v>
      </c>
      <c r="O54" s="3" t="s">
        <v>13</v>
      </c>
      <c r="P54" s="3" t="s">
        <v>54</v>
      </c>
    </row>
    <row r="55" spans="1:16" x14ac:dyDescent="0.25">
      <c r="A55" s="3">
        <v>100054</v>
      </c>
      <c r="B55" s="4">
        <v>46140</v>
      </c>
      <c r="C55" s="3" t="s">
        <v>22</v>
      </c>
      <c r="D55" s="3" t="s">
        <v>7</v>
      </c>
      <c r="E55" s="3" t="s">
        <v>33</v>
      </c>
      <c r="F55" s="3" t="s">
        <v>34</v>
      </c>
      <c r="G55" s="3" t="s">
        <v>50</v>
      </c>
      <c r="H55" s="3" t="s">
        <v>94</v>
      </c>
      <c r="I55" s="3" t="s">
        <v>20</v>
      </c>
      <c r="J55" s="3">
        <v>1</v>
      </c>
      <c r="K55" s="5">
        <v>9000</v>
      </c>
      <c r="L55" s="6">
        <v>0.1</v>
      </c>
      <c r="M55" s="5">
        <v>8100</v>
      </c>
      <c r="N55" s="5">
        <v>3500</v>
      </c>
      <c r="O55" s="3" t="s">
        <v>13</v>
      </c>
      <c r="P55" s="3" t="s">
        <v>74</v>
      </c>
    </row>
    <row r="56" spans="1:16" x14ac:dyDescent="0.25">
      <c r="A56" s="3">
        <v>100055</v>
      </c>
      <c r="B56" s="4">
        <v>46178</v>
      </c>
      <c r="C56" s="3" t="s">
        <v>25</v>
      </c>
      <c r="D56" s="3" t="s">
        <v>26</v>
      </c>
      <c r="E56" s="3" t="s">
        <v>33</v>
      </c>
      <c r="F56" s="3" t="s">
        <v>17</v>
      </c>
      <c r="G56" s="3" t="s">
        <v>28</v>
      </c>
      <c r="H56" s="3" t="s">
        <v>95</v>
      </c>
      <c r="I56" s="3" t="s">
        <v>12</v>
      </c>
      <c r="J56" s="3">
        <v>2</v>
      </c>
      <c r="K56" s="5">
        <v>26000</v>
      </c>
      <c r="L56" s="6">
        <v>0.15</v>
      </c>
      <c r="M56" s="5">
        <v>44200</v>
      </c>
      <c r="N56" s="5">
        <v>15000</v>
      </c>
      <c r="O56" s="3" t="s">
        <v>13</v>
      </c>
      <c r="P56" s="3" t="s">
        <v>37</v>
      </c>
    </row>
    <row r="57" spans="1:16" x14ac:dyDescent="0.25">
      <c r="A57" s="3">
        <v>100056</v>
      </c>
      <c r="B57" s="4">
        <v>46191</v>
      </c>
      <c r="C57" s="3" t="s">
        <v>25</v>
      </c>
      <c r="D57" s="3" t="s">
        <v>26</v>
      </c>
      <c r="E57" s="3" t="s">
        <v>33</v>
      </c>
      <c r="F57" s="3" t="s">
        <v>34</v>
      </c>
      <c r="G57" s="3" t="s">
        <v>50</v>
      </c>
      <c r="H57" s="3" t="s">
        <v>96</v>
      </c>
      <c r="I57" s="3" t="s">
        <v>12</v>
      </c>
      <c r="J57" s="3">
        <v>1</v>
      </c>
      <c r="K57" s="5">
        <v>9000</v>
      </c>
      <c r="L57" s="6">
        <v>0.05</v>
      </c>
      <c r="M57" s="5">
        <v>6840</v>
      </c>
      <c r="N57" s="5">
        <v>3500</v>
      </c>
      <c r="O57" s="3" t="s">
        <v>13</v>
      </c>
      <c r="P57" s="3" t="s">
        <v>37</v>
      </c>
    </row>
    <row r="58" spans="1:16" x14ac:dyDescent="0.25">
      <c r="A58" s="3">
        <v>100057</v>
      </c>
      <c r="B58" s="4">
        <v>46196</v>
      </c>
      <c r="C58" s="3" t="s">
        <v>40</v>
      </c>
      <c r="D58" s="3" t="s">
        <v>41</v>
      </c>
      <c r="E58" s="3" t="s">
        <v>27</v>
      </c>
      <c r="F58" s="3" t="s">
        <v>17</v>
      </c>
      <c r="G58" s="3" t="s">
        <v>28</v>
      </c>
      <c r="H58" s="3" t="s">
        <v>97</v>
      </c>
      <c r="I58" s="3" t="s">
        <v>12</v>
      </c>
      <c r="J58" s="3">
        <v>1</v>
      </c>
      <c r="K58" s="5">
        <v>26000</v>
      </c>
      <c r="L58" s="6">
        <v>0.15</v>
      </c>
      <c r="M58" s="5">
        <v>22100</v>
      </c>
      <c r="N58" s="5">
        <v>15000</v>
      </c>
      <c r="O58" s="3" t="s">
        <v>13</v>
      </c>
      <c r="P58" s="3" t="s">
        <v>44</v>
      </c>
    </row>
    <row r="59" spans="1:16" x14ac:dyDescent="0.25">
      <c r="A59" s="3">
        <v>100058</v>
      </c>
      <c r="B59" s="4">
        <v>46140</v>
      </c>
      <c r="C59" s="3" t="s">
        <v>25</v>
      </c>
      <c r="D59" s="3" t="s">
        <v>26</v>
      </c>
      <c r="E59" s="3" t="s">
        <v>33</v>
      </c>
      <c r="F59" s="3" t="s">
        <v>34</v>
      </c>
      <c r="G59" s="3" t="s">
        <v>55</v>
      </c>
      <c r="H59" s="3" t="s">
        <v>98</v>
      </c>
      <c r="I59" s="3" t="s">
        <v>20</v>
      </c>
      <c r="J59" s="3">
        <v>2</v>
      </c>
      <c r="K59" s="5">
        <v>28000</v>
      </c>
      <c r="L59" s="6">
        <v>0</v>
      </c>
      <c r="M59" s="5">
        <v>56000</v>
      </c>
      <c r="N59" s="5">
        <v>16000</v>
      </c>
      <c r="O59" s="3" t="s">
        <v>13</v>
      </c>
      <c r="P59" s="3" t="s">
        <v>74</v>
      </c>
    </row>
    <row r="60" spans="1:16" x14ac:dyDescent="0.25">
      <c r="A60" s="3">
        <v>100059</v>
      </c>
      <c r="B60" s="4">
        <v>46039</v>
      </c>
      <c r="C60" s="3" t="s">
        <v>32</v>
      </c>
      <c r="D60" s="3" t="s">
        <v>16</v>
      </c>
      <c r="E60" s="3" t="s">
        <v>27</v>
      </c>
      <c r="F60" s="3" t="s">
        <v>9</v>
      </c>
      <c r="G60" s="3" t="s">
        <v>42</v>
      </c>
      <c r="H60" s="3" t="s">
        <v>99</v>
      </c>
      <c r="I60" s="3" t="s">
        <v>20</v>
      </c>
      <c r="J60" s="3">
        <v>2</v>
      </c>
      <c r="K60" s="5">
        <v>42000</v>
      </c>
      <c r="L60" s="6">
        <v>0.1</v>
      </c>
      <c r="M60" s="5">
        <v>75600</v>
      </c>
      <c r="N60" s="5">
        <v>28000</v>
      </c>
      <c r="O60" s="3" t="s">
        <v>13</v>
      </c>
      <c r="P60" s="3" t="s">
        <v>74</v>
      </c>
    </row>
    <row r="61" spans="1:16" x14ac:dyDescent="0.25">
      <c r="A61" s="3">
        <v>100060</v>
      </c>
      <c r="B61" s="4">
        <v>46046</v>
      </c>
      <c r="C61" s="3" t="s">
        <v>40</v>
      </c>
      <c r="D61" s="3" t="s">
        <v>41</v>
      </c>
      <c r="E61" s="3" t="s">
        <v>27</v>
      </c>
      <c r="F61" s="3" t="s">
        <v>17</v>
      </c>
      <c r="G61" s="3" t="s">
        <v>23</v>
      </c>
      <c r="H61" s="3" t="s">
        <v>100</v>
      </c>
      <c r="I61" s="3" t="s">
        <v>20</v>
      </c>
      <c r="J61" s="3">
        <v>1</v>
      </c>
      <c r="K61" s="5">
        <v>32000</v>
      </c>
      <c r="L61" s="6">
        <v>0.1</v>
      </c>
      <c r="M61" s="5">
        <v>28800</v>
      </c>
      <c r="N61" s="5">
        <v>19000</v>
      </c>
      <c r="O61" s="3" t="s">
        <v>13</v>
      </c>
      <c r="P61" s="3" t="s">
        <v>37</v>
      </c>
    </row>
    <row r="62" spans="1:16" x14ac:dyDescent="0.25">
      <c r="A62" s="3">
        <v>100061</v>
      </c>
      <c r="B62" s="4">
        <v>46251</v>
      </c>
      <c r="C62" s="3" t="s">
        <v>32</v>
      </c>
      <c r="D62" s="3" t="s">
        <v>16</v>
      </c>
      <c r="E62" s="3" t="s">
        <v>33</v>
      </c>
      <c r="F62" s="3" t="s">
        <v>17</v>
      </c>
      <c r="G62" s="3" t="s">
        <v>23</v>
      </c>
      <c r="H62" s="3" t="s">
        <v>101</v>
      </c>
      <c r="I62" s="3" t="s">
        <v>20</v>
      </c>
      <c r="J62" s="3">
        <v>1</v>
      </c>
      <c r="K62" s="5">
        <v>32000</v>
      </c>
      <c r="L62" s="6">
        <v>0.15</v>
      </c>
      <c r="M62" s="5">
        <v>27200</v>
      </c>
      <c r="N62" s="5">
        <v>19000</v>
      </c>
      <c r="O62" s="3" t="s">
        <v>13</v>
      </c>
      <c r="P62" s="3" t="s">
        <v>74</v>
      </c>
    </row>
    <row r="63" spans="1:16" x14ac:dyDescent="0.25">
      <c r="A63" s="3">
        <v>100062</v>
      </c>
      <c r="B63" s="4">
        <v>46161</v>
      </c>
      <c r="C63" s="3" t="s">
        <v>45</v>
      </c>
      <c r="D63" s="3" t="s">
        <v>46</v>
      </c>
      <c r="E63" s="3" t="s">
        <v>27</v>
      </c>
      <c r="F63" s="3" t="s">
        <v>17</v>
      </c>
      <c r="G63" s="3" t="s">
        <v>18</v>
      </c>
      <c r="H63" s="3" t="s">
        <v>102</v>
      </c>
      <c r="I63" s="3" t="s">
        <v>12</v>
      </c>
      <c r="J63" s="3">
        <v>3</v>
      </c>
      <c r="K63" s="5">
        <v>165000</v>
      </c>
      <c r="L63" s="6">
        <v>0</v>
      </c>
      <c r="M63" s="5">
        <v>495000</v>
      </c>
      <c r="N63" s="5">
        <v>112000</v>
      </c>
      <c r="O63" s="3" t="s">
        <v>13</v>
      </c>
      <c r="P63" s="3" t="s">
        <v>74</v>
      </c>
    </row>
    <row r="64" spans="1:16" x14ac:dyDescent="0.25">
      <c r="A64" s="3">
        <v>100063</v>
      </c>
      <c r="B64" s="4">
        <v>46114</v>
      </c>
      <c r="C64" s="3" t="s">
        <v>32</v>
      </c>
      <c r="D64" s="3" t="s">
        <v>16</v>
      </c>
      <c r="E64" s="3" t="s">
        <v>33</v>
      </c>
      <c r="F64" s="3" t="s">
        <v>9</v>
      </c>
      <c r="G64" s="3" t="s">
        <v>10</v>
      </c>
      <c r="H64" s="3" t="s">
        <v>67</v>
      </c>
      <c r="I64" s="3" t="s">
        <v>12</v>
      </c>
      <c r="J64" s="3">
        <v>1</v>
      </c>
      <c r="K64" s="5">
        <v>58000</v>
      </c>
      <c r="L64" s="6">
        <v>0</v>
      </c>
      <c r="M64" s="5">
        <v>58000</v>
      </c>
      <c r="N64" s="5">
        <v>39000</v>
      </c>
      <c r="O64" s="3" t="s">
        <v>13</v>
      </c>
      <c r="P64" s="3" t="s">
        <v>44</v>
      </c>
    </row>
    <row r="65" spans="1:16" x14ac:dyDescent="0.25">
      <c r="A65" s="3">
        <v>100064</v>
      </c>
      <c r="B65" s="4">
        <v>46224</v>
      </c>
      <c r="C65" s="3" t="s">
        <v>15</v>
      </c>
      <c r="D65" s="3" t="s">
        <v>16</v>
      </c>
      <c r="E65" s="3" t="s">
        <v>8</v>
      </c>
      <c r="F65" s="3" t="s">
        <v>9</v>
      </c>
      <c r="G65" s="3" t="s">
        <v>52</v>
      </c>
      <c r="H65" s="3" t="s">
        <v>89</v>
      </c>
      <c r="I65" s="3" t="s">
        <v>12</v>
      </c>
      <c r="J65" s="3">
        <v>1</v>
      </c>
      <c r="K65" s="5">
        <v>24000</v>
      </c>
      <c r="L65" s="6">
        <v>0.05</v>
      </c>
      <c r="M65" s="5">
        <v>22800</v>
      </c>
      <c r="N65" s="5">
        <v>15000</v>
      </c>
      <c r="O65" s="3" t="s">
        <v>13</v>
      </c>
      <c r="P65" s="3" t="s">
        <v>21</v>
      </c>
    </row>
    <row r="66" spans="1:16" x14ac:dyDescent="0.25">
      <c r="A66" s="3">
        <v>100065</v>
      </c>
      <c r="B66" s="4">
        <v>46172</v>
      </c>
      <c r="C66" s="3" t="s">
        <v>45</v>
      </c>
      <c r="D66" s="3" t="s">
        <v>46</v>
      </c>
      <c r="E66" s="3" t="s">
        <v>33</v>
      </c>
      <c r="F66" s="3" t="s">
        <v>17</v>
      </c>
      <c r="G66" s="3" t="s">
        <v>18</v>
      </c>
      <c r="H66" s="3" t="s">
        <v>103</v>
      </c>
      <c r="I66" s="3" t="s">
        <v>20</v>
      </c>
      <c r="J66" s="3">
        <v>4</v>
      </c>
      <c r="K66" s="5">
        <v>165000</v>
      </c>
      <c r="L66" s="6">
        <v>0.1</v>
      </c>
      <c r="M66" s="5">
        <v>594000</v>
      </c>
      <c r="N66" s="5">
        <v>112000</v>
      </c>
      <c r="O66" s="3" t="s">
        <v>13</v>
      </c>
      <c r="P66" s="3" t="s">
        <v>48</v>
      </c>
    </row>
    <row r="67" spans="1:16" x14ac:dyDescent="0.25">
      <c r="A67" s="3">
        <v>100066</v>
      </c>
      <c r="B67" s="4">
        <v>46107</v>
      </c>
      <c r="C67" s="3" t="s">
        <v>40</v>
      </c>
      <c r="D67" s="3" t="s">
        <v>41</v>
      </c>
      <c r="E67" s="3" t="s">
        <v>27</v>
      </c>
      <c r="F67" s="3" t="s">
        <v>9</v>
      </c>
      <c r="G67" s="3" t="s">
        <v>42</v>
      </c>
      <c r="H67" s="3" t="s">
        <v>104</v>
      </c>
      <c r="I67" s="3" t="s">
        <v>20</v>
      </c>
      <c r="J67" s="3">
        <v>3</v>
      </c>
      <c r="K67" s="5">
        <v>42000</v>
      </c>
      <c r="L67" s="6">
        <v>0.1</v>
      </c>
      <c r="M67" s="5">
        <v>113400</v>
      </c>
      <c r="N67" s="5">
        <v>28000</v>
      </c>
      <c r="O67" s="3" t="s">
        <v>13</v>
      </c>
      <c r="P67" s="3" t="s">
        <v>21</v>
      </c>
    </row>
    <row r="68" spans="1:16" x14ac:dyDescent="0.25">
      <c r="A68" s="3">
        <v>100067</v>
      </c>
      <c r="B68" s="4">
        <v>46210</v>
      </c>
      <c r="C68" s="3" t="s">
        <v>6</v>
      </c>
      <c r="D68" s="3" t="s">
        <v>7</v>
      </c>
      <c r="E68" s="3" t="s">
        <v>8</v>
      </c>
      <c r="F68" s="3" t="s">
        <v>34</v>
      </c>
      <c r="G68" s="3" t="s">
        <v>55</v>
      </c>
      <c r="H68" s="3" t="s">
        <v>105</v>
      </c>
      <c r="I68" s="3" t="s">
        <v>12</v>
      </c>
      <c r="J68" s="3">
        <v>3</v>
      </c>
      <c r="K68" s="5">
        <v>28000</v>
      </c>
      <c r="L68" s="6">
        <v>0.15</v>
      </c>
      <c r="M68" s="5">
        <v>57120</v>
      </c>
      <c r="N68" s="5">
        <v>16000</v>
      </c>
      <c r="O68" s="3" t="s">
        <v>13</v>
      </c>
      <c r="P68" s="3" t="s">
        <v>48</v>
      </c>
    </row>
    <row r="69" spans="1:16" x14ac:dyDescent="0.25">
      <c r="A69" s="3">
        <v>100068</v>
      </c>
      <c r="B69" s="4">
        <v>46111</v>
      </c>
      <c r="C69" s="3" t="s">
        <v>6</v>
      </c>
      <c r="D69" s="3" t="s">
        <v>7</v>
      </c>
      <c r="E69" s="3" t="s">
        <v>27</v>
      </c>
      <c r="F69" s="3" t="s">
        <v>34</v>
      </c>
      <c r="G69" s="3" t="s">
        <v>55</v>
      </c>
      <c r="H69" s="3" t="s">
        <v>106</v>
      </c>
      <c r="I69" s="3" t="s">
        <v>12</v>
      </c>
      <c r="J69" s="3">
        <v>4</v>
      </c>
      <c r="K69" s="5">
        <v>28000</v>
      </c>
      <c r="L69" s="6">
        <v>0.05</v>
      </c>
      <c r="M69" s="5">
        <v>106400</v>
      </c>
      <c r="N69" s="5">
        <v>16000</v>
      </c>
      <c r="O69" s="3" t="s">
        <v>13</v>
      </c>
      <c r="P69" s="3" t="s">
        <v>48</v>
      </c>
    </row>
    <row r="70" spans="1:16" x14ac:dyDescent="0.25">
      <c r="A70" s="3">
        <v>100069</v>
      </c>
      <c r="B70" s="4">
        <v>46092</v>
      </c>
      <c r="C70" s="3" t="s">
        <v>45</v>
      </c>
      <c r="D70" s="3" t="s">
        <v>46</v>
      </c>
      <c r="E70" s="3" t="s">
        <v>33</v>
      </c>
      <c r="F70" s="3" t="s">
        <v>17</v>
      </c>
      <c r="G70" s="3" t="s">
        <v>18</v>
      </c>
      <c r="H70" s="3" t="s">
        <v>107</v>
      </c>
      <c r="I70" s="3" t="s">
        <v>12</v>
      </c>
      <c r="J70" s="3">
        <v>3</v>
      </c>
      <c r="K70" s="5">
        <v>165000</v>
      </c>
      <c r="L70" s="6">
        <v>0.05</v>
      </c>
      <c r="M70" s="5">
        <v>470250</v>
      </c>
      <c r="N70" s="5">
        <v>112000</v>
      </c>
      <c r="O70" s="3" t="s">
        <v>13</v>
      </c>
      <c r="P70" s="3" t="s">
        <v>37</v>
      </c>
    </row>
    <row r="71" spans="1:16" x14ac:dyDescent="0.25">
      <c r="A71" s="3">
        <v>100070</v>
      </c>
      <c r="B71" s="4">
        <v>46147</v>
      </c>
      <c r="C71" s="3" t="s">
        <v>45</v>
      </c>
      <c r="D71" s="3" t="s">
        <v>46</v>
      </c>
      <c r="E71" s="3" t="s">
        <v>33</v>
      </c>
      <c r="F71" s="3" t="s">
        <v>9</v>
      </c>
      <c r="G71" s="3" t="s">
        <v>10</v>
      </c>
      <c r="H71" s="3" t="s">
        <v>108</v>
      </c>
      <c r="I71" s="3" t="s">
        <v>12</v>
      </c>
      <c r="J71" s="3">
        <v>3</v>
      </c>
      <c r="K71" s="5">
        <v>58000</v>
      </c>
      <c r="L71" s="6">
        <v>0</v>
      </c>
      <c r="M71" s="5">
        <v>174000</v>
      </c>
      <c r="N71" s="3"/>
      <c r="O71" s="3" t="s">
        <v>13</v>
      </c>
      <c r="P71" s="3" t="s">
        <v>54</v>
      </c>
    </row>
    <row r="72" spans="1:16" x14ac:dyDescent="0.25">
      <c r="A72" s="3">
        <v>100071</v>
      </c>
      <c r="B72" s="4">
        <v>46028</v>
      </c>
      <c r="C72" s="3" t="s">
        <v>32</v>
      </c>
      <c r="D72" s="3" t="s">
        <v>16</v>
      </c>
      <c r="E72" s="3" t="s">
        <v>27</v>
      </c>
      <c r="F72" s="3" t="s">
        <v>17</v>
      </c>
      <c r="G72" s="3" t="s">
        <v>28</v>
      </c>
      <c r="H72" s="3" t="s">
        <v>109</v>
      </c>
      <c r="I72" s="3" t="s">
        <v>20</v>
      </c>
      <c r="J72" s="3">
        <v>4</v>
      </c>
      <c r="K72" s="5">
        <v>26000</v>
      </c>
      <c r="L72" s="6">
        <v>0.1</v>
      </c>
      <c r="M72" s="5">
        <v>93600</v>
      </c>
      <c r="N72" s="5">
        <v>15000</v>
      </c>
      <c r="O72" s="3" t="s">
        <v>13</v>
      </c>
      <c r="P72" s="3" t="s">
        <v>14</v>
      </c>
    </row>
    <row r="73" spans="1:16" x14ac:dyDescent="0.25">
      <c r="A73" s="3">
        <v>100072</v>
      </c>
      <c r="B73" s="4">
        <v>46182</v>
      </c>
      <c r="C73" s="3" t="s">
        <v>40</v>
      </c>
      <c r="D73" s="3" t="s">
        <v>41</v>
      </c>
      <c r="E73" s="3" t="s">
        <v>33</v>
      </c>
      <c r="F73" s="3" t="s">
        <v>9</v>
      </c>
      <c r="G73" s="3" t="s">
        <v>10</v>
      </c>
      <c r="H73" s="3" t="s">
        <v>110</v>
      </c>
      <c r="I73" s="3" t="s">
        <v>12</v>
      </c>
      <c r="J73" s="3">
        <v>3</v>
      </c>
      <c r="K73" s="5">
        <v>58000</v>
      </c>
      <c r="L73" s="6">
        <v>0.1</v>
      </c>
      <c r="M73" s="5">
        <v>125280</v>
      </c>
      <c r="N73" s="5">
        <v>39000</v>
      </c>
      <c r="O73" s="3" t="s">
        <v>13</v>
      </c>
      <c r="P73" s="3" t="s">
        <v>30</v>
      </c>
    </row>
    <row r="74" spans="1:16" x14ac:dyDescent="0.25">
      <c r="A74" s="3">
        <v>100073</v>
      </c>
      <c r="B74" s="4">
        <v>46086</v>
      </c>
      <c r="C74" s="3" t="s">
        <v>22</v>
      </c>
      <c r="D74" s="3" t="s">
        <v>7</v>
      </c>
      <c r="E74" s="3" t="s">
        <v>27</v>
      </c>
      <c r="F74" s="3" t="s">
        <v>17</v>
      </c>
      <c r="G74" s="3" t="s">
        <v>28</v>
      </c>
      <c r="H74" s="3" t="s">
        <v>111</v>
      </c>
      <c r="I74" s="3" t="s">
        <v>20</v>
      </c>
      <c r="J74" s="3">
        <v>1</v>
      </c>
      <c r="K74" s="5">
        <v>26000</v>
      </c>
      <c r="L74" s="6">
        <v>0.1</v>
      </c>
      <c r="M74" s="5">
        <v>23400</v>
      </c>
      <c r="N74" s="5">
        <v>15000</v>
      </c>
      <c r="O74" s="3" t="s">
        <v>66</v>
      </c>
      <c r="P74" s="3" t="s">
        <v>37</v>
      </c>
    </row>
    <row r="75" spans="1:16" x14ac:dyDescent="0.25">
      <c r="A75" s="3">
        <v>100074</v>
      </c>
      <c r="B75" s="4">
        <v>46132</v>
      </c>
      <c r="C75" s="3" t="s">
        <v>40</v>
      </c>
      <c r="D75" s="3" t="s">
        <v>41</v>
      </c>
      <c r="E75" s="3" t="s">
        <v>33</v>
      </c>
      <c r="F75" s="3" t="s">
        <v>34</v>
      </c>
      <c r="G75" s="3" t="s">
        <v>35</v>
      </c>
      <c r="H75" s="3" t="s">
        <v>112</v>
      </c>
      <c r="I75" s="3" t="s">
        <v>12</v>
      </c>
      <c r="J75" s="3">
        <v>4</v>
      </c>
      <c r="K75" s="5">
        <v>6500</v>
      </c>
      <c r="L75" s="6">
        <v>0.05</v>
      </c>
      <c r="M75" s="5">
        <v>24700</v>
      </c>
      <c r="N75" s="5">
        <v>2200</v>
      </c>
      <c r="O75" s="3" t="s">
        <v>13</v>
      </c>
      <c r="P75" s="3" t="s">
        <v>14</v>
      </c>
    </row>
    <row r="76" spans="1:16" x14ac:dyDescent="0.25">
      <c r="A76" s="3">
        <v>100075</v>
      </c>
      <c r="B76" s="4">
        <v>46256</v>
      </c>
      <c r="C76" s="3" t="s">
        <v>15</v>
      </c>
      <c r="D76" s="3" t="s">
        <v>16</v>
      </c>
      <c r="E76" s="3" t="s">
        <v>33</v>
      </c>
      <c r="F76" s="3" t="s">
        <v>17</v>
      </c>
      <c r="G76" s="3" t="s">
        <v>18</v>
      </c>
      <c r="H76" s="3" t="s">
        <v>113</v>
      </c>
      <c r="I76" s="3" t="s">
        <v>20</v>
      </c>
      <c r="J76" s="3">
        <v>1</v>
      </c>
      <c r="K76" s="5">
        <v>165000</v>
      </c>
      <c r="L76" s="6">
        <v>0.05</v>
      </c>
      <c r="M76" s="5">
        <v>156750</v>
      </c>
      <c r="N76" s="5">
        <v>112000</v>
      </c>
      <c r="O76" s="3" t="s">
        <v>13</v>
      </c>
      <c r="P76" s="3" t="s">
        <v>44</v>
      </c>
    </row>
    <row r="77" spans="1:16" x14ac:dyDescent="0.25">
      <c r="A77" s="3">
        <v>100076</v>
      </c>
      <c r="B77" s="4">
        <v>46064</v>
      </c>
      <c r="C77" s="3" t="s">
        <v>15</v>
      </c>
      <c r="D77" s="3" t="s">
        <v>16</v>
      </c>
      <c r="E77" s="3" t="s">
        <v>33</v>
      </c>
      <c r="F77" s="3" t="s">
        <v>17</v>
      </c>
      <c r="G77" s="3" t="s">
        <v>28</v>
      </c>
      <c r="H77" s="3" t="s">
        <v>114</v>
      </c>
      <c r="I77" s="3" t="s">
        <v>12</v>
      </c>
      <c r="J77" s="3">
        <v>4</v>
      </c>
      <c r="K77" s="5">
        <v>26000</v>
      </c>
      <c r="L77" s="6">
        <v>0</v>
      </c>
      <c r="M77" s="5">
        <v>104000</v>
      </c>
      <c r="N77" s="5">
        <v>15000</v>
      </c>
      <c r="O77" s="3" t="s">
        <v>13</v>
      </c>
      <c r="P77" s="3" t="s">
        <v>74</v>
      </c>
    </row>
    <row r="78" spans="1:16" x14ac:dyDescent="0.25">
      <c r="A78" s="3">
        <v>100077</v>
      </c>
      <c r="B78" s="4">
        <v>46156</v>
      </c>
      <c r="C78" s="3" t="s">
        <v>32</v>
      </c>
      <c r="D78" s="3" t="s">
        <v>16</v>
      </c>
      <c r="E78" s="3" t="s">
        <v>33</v>
      </c>
      <c r="F78" s="3" t="s">
        <v>34</v>
      </c>
      <c r="G78" s="3" t="s">
        <v>50</v>
      </c>
      <c r="H78" s="3" t="s">
        <v>53</v>
      </c>
      <c r="I78" s="3" t="s">
        <v>12</v>
      </c>
      <c r="J78" s="3">
        <v>2</v>
      </c>
      <c r="K78" s="5">
        <v>9000</v>
      </c>
      <c r="L78" s="6">
        <v>0.15</v>
      </c>
      <c r="M78" s="5">
        <v>15300</v>
      </c>
      <c r="N78" s="5">
        <v>3500</v>
      </c>
      <c r="O78" s="3" t="s">
        <v>13</v>
      </c>
      <c r="P78" s="3" t="s">
        <v>14</v>
      </c>
    </row>
    <row r="79" spans="1:16" x14ac:dyDescent="0.25">
      <c r="A79" s="3">
        <v>100078</v>
      </c>
      <c r="B79" s="4">
        <v>46209</v>
      </c>
      <c r="C79" s="3" t="s">
        <v>15</v>
      </c>
      <c r="D79" s="3" t="s">
        <v>16</v>
      </c>
      <c r="E79" s="3" t="s">
        <v>33</v>
      </c>
      <c r="F79" s="3" t="s">
        <v>34</v>
      </c>
      <c r="G79" s="3" t="s">
        <v>35</v>
      </c>
      <c r="H79" s="3" t="s">
        <v>115</v>
      </c>
      <c r="I79" s="3" t="s">
        <v>20</v>
      </c>
      <c r="J79" s="3">
        <v>2</v>
      </c>
      <c r="K79" s="5">
        <v>6500</v>
      </c>
      <c r="L79" s="6">
        <v>0.1</v>
      </c>
      <c r="M79" s="5">
        <v>11700</v>
      </c>
      <c r="N79" s="5">
        <v>2200</v>
      </c>
      <c r="O79" s="3" t="s">
        <v>13</v>
      </c>
      <c r="P79" s="3" t="s">
        <v>21</v>
      </c>
    </row>
    <row r="80" spans="1:16" x14ac:dyDescent="0.25">
      <c r="A80" s="3">
        <v>100079</v>
      </c>
      <c r="B80" s="4">
        <v>46058</v>
      </c>
      <c r="C80" s="3" t="s">
        <v>32</v>
      </c>
      <c r="D80" s="3" t="s">
        <v>16</v>
      </c>
      <c r="E80" s="3" t="s">
        <v>33</v>
      </c>
      <c r="F80" s="3" t="s">
        <v>9</v>
      </c>
      <c r="G80" s="3" t="s">
        <v>10</v>
      </c>
      <c r="H80" s="3" t="s">
        <v>116</v>
      </c>
      <c r="I80" s="3" t="s">
        <v>20</v>
      </c>
      <c r="J80" s="3">
        <v>2</v>
      </c>
      <c r="K80" s="5">
        <v>58000</v>
      </c>
      <c r="L80" s="6">
        <v>0.1</v>
      </c>
      <c r="M80" s="5">
        <v>104400</v>
      </c>
      <c r="N80" s="5">
        <v>39000</v>
      </c>
      <c r="O80" s="3" t="s">
        <v>13</v>
      </c>
      <c r="P80" s="3" t="s">
        <v>74</v>
      </c>
    </row>
    <row r="81" spans="1:16" x14ac:dyDescent="0.25">
      <c r="A81" s="3">
        <v>100080</v>
      </c>
      <c r="B81" s="4">
        <v>46255</v>
      </c>
      <c r="C81" s="3" t="s">
        <v>40</v>
      </c>
      <c r="D81" s="3" t="s">
        <v>41</v>
      </c>
      <c r="E81" s="3" t="s">
        <v>27</v>
      </c>
      <c r="F81" s="3" t="s">
        <v>34</v>
      </c>
      <c r="G81" s="3" t="s">
        <v>55</v>
      </c>
      <c r="H81" s="3" t="s">
        <v>117</v>
      </c>
      <c r="I81" s="3" t="s">
        <v>20</v>
      </c>
      <c r="J81" s="3">
        <v>2</v>
      </c>
      <c r="K81" s="5">
        <v>28000</v>
      </c>
      <c r="L81" s="6">
        <v>0.1</v>
      </c>
      <c r="M81" s="5">
        <v>50400</v>
      </c>
      <c r="N81" s="5">
        <v>16000</v>
      </c>
      <c r="O81" s="3" t="s">
        <v>13</v>
      </c>
      <c r="P81" s="3" t="s">
        <v>21</v>
      </c>
    </row>
    <row r="82" spans="1:16" x14ac:dyDescent="0.25">
      <c r="A82" s="3">
        <v>100081</v>
      </c>
      <c r="B82" s="4">
        <v>46151</v>
      </c>
      <c r="C82" s="3" t="s">
        <v>32</v>
      </c>
      <c r="D82" s="3" t="s">
        <v>16</v>
      </c>
      <c r="E82" s="3" t="s">
        <v>27</v>
      </c>
      <c r="F82" s="3" t="s">
        <v>17</v>
      </c>
      <c r="G82" s="3" t="s">
        <v>23</v>
      </c>
      <c r="H82" s="3" t="s">
        <v>118</v>
      </c>
      <c r="I82" s="3" t="s">
        <v>12</v>
      </c>
      <c r="J82" s="3">
        <v>2</v>
      </c>
      <c r="K82" s="5">
        <v>32000</v>
      </c>
      <c r="L82" s="6">
        <v>0</v>
      </c>
      <c r="M82" s="5">
        <v>64000</v>
      </c>
      <c r="N82" s="5">
        <v>19000</v>
      </c>
      <c r="O82" s="3" t="s">
        <v>13</v>
      </c>
      <c r="P82" s="3" t="s">
        <v>74</v>
      </c>
    </row>
    <row r="83" spans="1:16" x14ac:dyDescent="0.25">
      <c r="A83" s="3">
        <v>100082</v>
      </c>
      <c r="B83" s="4">
        <v>46149</v>
      </c>
      <c r="C83" s="3" t="s">
        <v>22</v>
      </c>
      <c r="D83" s="3" t="s">
        <v>7</v>
      </c>
      <c r="E83" s="3" t="s">
        <v>27</v>
      </c>
      <c r="F83" s="3" t="s">
        <v>17</v>
      </c>
      <c r="G83" s="3" t="s">
        <v>18</v>
      </c>
      <c r="H83" s="3" t="s">
        <v>76</v>
      </c>
      <c r="I83" s="3" t="s">
        <v>12</v>
      </c>
      <c r="J83" s="3">
        <v>2</v>
      </c>
      <c r="K83" s="5">
        <v>165000</v>
      </c>
      <c r="L83" s="6">
        <v>0.1</v>
      </c>
      <c r="M83" s="5">
        <v>297000</v>
      </c>
      <c r="N83" s="3"/>
      <c r="O83" s="3" t="s">
        <v>13</v>
      </c>
      <c r="P83" s="3" t="s">
        <v>44</v>
      </c>
    </row>
    <row r="84" spans="1:16" x14ac:dyDescent="0.25">
      <c r="A84" s="3">
        <v>100083</v>
      </c>
      <c r="B84" s="4">
        <v>46079</v>
      </c>
      <c r="C84" s="3" t="s">
        <v>32</v>
      </c>
      <c r="D84" s="3" t="s">
        <v>16</v>
      </c>
      <c r="E84" s="3" t="s">
        <v>33</v>
      </c>
      <c r="F84" s="3" t="s">
        <v>17</v>
      </c>
      <c r="G84" s="3" t="s">
        <v>18</v>
      </c>
      <c r="H84" s="3" t="s">
        <v>119</v>
      </c>
      <c r="I84" s="3" t="s">
        <v>20</v>
      </c>
      <c r="J84" s="3">
        <v>3</v>
      </c>
      <c r="K84" s="5">
        <v>165000</v>
      </c>
      <c r="L84" s="6">
        <v>0.1</v>
      </c>
      <c r="M84" s="5">
        <v>445500</v>
      </c>
      <c r="N84" s="5">
        <v>112000</v>
      </c>
      <c r="O84" s="3" t="s">
        <v>66</v>
      </c>
      <c r="P84" s="3" t="s">
        <v>44</v>
      </c>
    </row>
    <row r="85" spans="1:16" x14ac:dyDescent="0.25">
      <c r="A85" s="3">
        <v>100084</v>
      </c>
      <c r="B85" s="4">
        <v>46226</v>
      </c>
      <c r="C85" s="3" t="s">
        <v>22</v>
      </c>
      <c r="D85" s="3" t="s">
        <v>7</v>
      </c>
      <c r="E85" s="3" t="s">
        <v>33</v>
      </c>
      <c r="F85" s="3" t="s">
        <v>17</v>
      </c>
      <c r="G85" s="3" t="s">
        <v>28</v>
      </c>
      <c r="H85" s="3" t="s">
        <v>120</v>
      </c>
      <c r="I85" s="3" t="s">
        <v>12</v>
      </c>
      <c r="J85" s="3">
        <v>4</v>
      </c>
      <c r="K85" s="5">
        <v>26000</v>
      </c>
      <c r="L85" s="6">
        <v>0</v>
      </c>
      <c r="M85" s="5">
        <v>104000</v>
      </c>
      <c r="N85" s="5">
        <v>15000</v>
      </c>
      <c r="O85" s="3" t="s">
        <v>66</v>
      </c>
      <c r="P85" s="3" t="s">
        <v>21</v>
      </c>
    </row>
    <row r="86" spans="1:16" x14ac:dyDescent="0.25">
      <c r="A86" s="3">
        <v>100085</v>
      </c>
      <c r="B86" s="4">
        <v>46227</v>
      </c>
      <c r="C86" s="3" t="s">
        <v>45</v>
      </c>
      <c r="D86" s="3" t="s">
        <v>46</v>
      </c>
      <c r="E86" s="3" t="s">
        <v>8</v>
      </c>
      <c r="F86" s="3" t="s">
        <v>17</v>
      </c>
      <c r="G86" s="3" t="s">
        <v>28</v>
      </c>
      <c r="H86" s="3" t="s">
        <v>121</v>
      </c>
      <c r="I86" s="3" t="s">
        <v>20</v>
      </c>
      <c r="J86" s="3">
        <v>3</v>
      </c>
      <c r="K86" s="5">
        <v>26000</v>
      </c>
      <c r="L86" s="6">
        <v>0</v>
      </c>
      <c r="M86" s="5">
        <v>78000</v>
      </c>
      <c r="N86" s="5">
        <v>15000</v>
      </c>
      <c r="O86" s="3" t="s">
        <v>13</v>
      </c>
      <c r="P86" s="3" t="s">
        <v>74</v>
      </c>
    </row>
    <row r="87" spans="1:16" x14ac:dyDescent="0.25">
      <c r="A87" s="3">
        <v>100086</v>
      </c>
      <c r="B87" s="4">
        <v>46068</v>
      </c>
      <c r="C87" s="3" t="s">
        <v>25</v>
      </c>
      <c r="D87" s="3" t="s">
        <v>26</v>
      </c>
      <c r="E87" s="3" t="s">
        <v>27</v>
      </c>
      <c r="F87" s="3" t="s">
        <v>17</v>
      </c>
      <c r="G87" s="3" t="s">
        <v>23</v>
      </c>
      <c r="H87" s="3" t="s">
        <v>122</v>
      </c>
      <c r="I87" s="3" t="s">
        <v>20</v>
      </c>
      <c r="J87" s="3">
        <v>4</v>
      </c>
      <c r="K87" s="5">
        <v>32000</v>
      </c>
      <c r="L87" s="6">
        <v>0.1</v>
      </c>
      <c r="M87" s="5">
        <v>115200</v>
      </c>
      <c r="N87" s="5">
        <v>19000</v>
      </c>
      <c r="O87" s="3" t="s">
        <v>13</v>
      </c>
      <c r="P87" s="3" t="s">
        <v>44</v>
      </c>
    </row>
    <row r="88" spans="1:16" x14ac:dyDescent="0.25">
      <c r="A88" s="3">
        <v>100087</v>
      </c>
      <c r="B88" s="4">
        <v>46032</v>
      </c>
      <c r="C88" s="3" t="s">
        <v>22</v>
      </c>
      <c r="D88" s="3" t="s">
        <v>7</v>
      </c>
      <c r="E88" s="3" t="s">
        <v>8</v>
      </c>
      <c r="F88" s="3" t="s">
        <v>34</v>
      </c>
      <c r="G88" s="3" t="s">
        <v>55</v>
      </c>
      <c r="H88" s="3" t="s">
        <v>123</v>
      </c>
      <c r="I88" s="3" t="s">
        <v>20</v>
      </c>
      <c r="J88" s="3">
        <v>3</v>
      </c>
      <c r="K88" s="5">
        <v>28000</v>
      </c>
      <c r="L88" s="6">
        <v>0.15</v>
      </c>
      <c r="M88" s="5">
        <v>71400</v>
      </c>
      <c r="N88" s="5">
        <v>16000</v>
      </c>
      <c r="O88" s="3" t="s">
        <v>13</v>
      </c>
      <c r="P88" s="3" t="s">
        <v>44</v>
      </c>
    </row>
    <row r="89" spans="1:16" x14ac:dyDescent="0.25">
      <c r="A89" s="3">
        <v>100088</v>
      </c>
      <c r="B89" s="4">
        <v>46191</v>
      </c>
      <c r="C89" s="3" t="s">
        <v>25</v>
      </c>
      <c r="D89" s="3" t="s">
        <v>26</v>
      </c>
      <c r="E89" s="3" t="s">
        <v>8</v>
      </c>
      <c r="F89" s="3" t="s">
        <v>17</v>
      </c>
      <c r="G89" s="3" t="s">
        <v>23</v>
      </c>
      <c r="H89" s="3" t="s">
        <v>124</v>
      </c>
      <c r="I89" s="3" t="s">
        <v>20</v>
      </c>
      <c r="J89" s="3">
        <v>5</v>
      </c>
      <c r="K89" s="5">
        <v>32000</v>
      </c>
      <c r="L89" s="6">
        <v>0.05</v>
      </c>
      <c r="M89" s="5">
        <v>152000</v>
      </c>
      <c r="N89" s="5">
        <v>19000</v>
      </c>
      <c r="O89" s="3" t="s">
        <v>66</v>
      </c>
      <c r="P89" s="3" t="s">
        <v>14</v>
      </c>
    </row>
    <row r="90" spans="1:16" x14ac:dyDescent="0.25">
      <c r="A90" s="3">
        <v>100089</v>
      </c>
      <c r="B90" s="4">
        <v>46024</v>
      </c>
      <c r="C90" s="3" t="s">
        <v>25</v>
      </c>
      <c r="D90" s="3" t="s">
        <v>26</v>
      </c>
      <c r="E90" s="3" t="s">
        <v>33</v>
      </c>
      <c r="F90" s="3" t="s">
        <v>9</v>
      </c>
      <c r="G90" s="3" t="s">
        <v>42</v>
      </c>
      <c r="H90" s="3" t="s">
        <v>76</v>
      </c>
      <c r="I90" s="3" t="s">
        <v>20</v>
      </c>
      <c r="J90" s="3">
        <v>1</v>
      </c>
      <c r="K90" s="5">
        <v>42000</v>
      </c>
      <c r="L90" s="6">
        <v>0.05</v>
      </c>
      <c r="M90" s="5">
        <v>39900</v>
      </c>
      <c r="N90" s="5">
        <v>28000</v>
      </c>
      <c r="O90" s="3" t="s">
        <v>13</v>
      </c>
      <c r="P90" s="3" t="s">
        <v>37</v>
      </c>
    </row>
    <row r="91" spans="1:16" x14ac:dyDescent="0.25">
      <c r="A91" s="3">
        <v>100090</v>
      </c>
      <c r="B91" s="4">
        <v>46085</v>
      </c>
      <c r="C91" s="3" t="s">
        <v>25</v>
      </c>
      <c r="D91" s="3" t="s">
        <v>26</v>
      </c>
      <c r="E91" s="3" t="s">
        <v>27</v>
      </c>
      <c r="F91" s="3" t="s">
        <v>9</v>
      </c>
      <c r="G91" s="3" t="s">
        <v>42</v>
      </c>
      <c r="H91" s="3" t="s">
        <v>85</v>
      </c>
      <c r="I91" s="3" t="s">
        <v>20</v>
      </c>
      <c r="J91" s="3">
        <v>4</v>
      </c>
      <c r="K91" s="5">
        <v>42000</v>
      </c>
      <c r="L91" s="6">
        <v>0.05</v>
      </c>
      <c r="M91" s="5">
        <v>159600</v>
      </c>
      <c r="N91" s="5">
        <v>28000</v>
      </c>
      <c r="O91" s="3" t="s">
        <v>13</v>
      </c>
      <c r="P91" s="3" t="s">
        <v>21</v>
      </c>
    </row>
    <row r="92" spans="1:16" x14ac:dyDescent="0.25">
      <c r="A92" s="3">
        <v>100091</v>
      </c>
      <c r="B92" s="4">
        <v>46190</v>
      </c>
      <c r="C92" s="3" t="s">
        <v>45</v>
      </c>
      <c r="D92" s="3" t="s">
        <v>46</v>
      </c>
      <c r="E92" s="3" t="s">
        <v>27</v>
      </c>
      <c r="F92" s="3" t="s">
        <v>34</v>
      </c>
      <c r="G92" s="3" t="s">
        <v>50</v>
      </c>
      <c r="H92" s="3" t="s">
        <v>125</v>
      </c>
      <c r="I92" s="3" t="s">
        <v>12</v>
      </c>
      <c r="J92" s="3">
        <v>2</v>
      </c>
      <c r="K92" s="5">
        <v>9000</v>
      </c>
      <c r="L92" s="6">
        <v>0.1</v>
      </c>
      <c r="M92" s="5">
        <v>16200</v>
      </c>
      <c r="N92" s="5">
        <v>3500</v>
      </c>
      <c r="O92" s="3" t="s">
        <v>13</v>
      </c>
      <c r="P92" s="3" t="s">
        <v>30</v>
      </c>
    </row>
    <row r="93" spans="1:16" x14ac:dyDescent="0.25">
      <c r="A93" s="3">
        <v>100092</v>
      </c>
      <c r="B93" s="4">
        <v>46153</v>
      </c>
      <c r="C93" s="3" t="s">
        <v>45</v>
      </c>
      <c r="D93" s="3" t="s">
        <v>46</v>
      </c>
      <c r="E93" s="3" t="s">
        <v>33</v>
      </c>
      <c r="F93" s="3" t="s">
        <v>9</v>
      </c>
      <c r="G93" s="3" t="s">
        <v>42</v>
      </c>
      <c r="H93" s="3" t="s">
        <v>115</v>
      </c>
      <c r="I93" s="3" t="s">
        <v>20</v>
      </c>
      <c r="J93" s="3">
        <v>4</v>
      </c>
      <c r="K93" s="5">
        <v>42000</v>
      </c>
      <c r="L93" s="6">
        <v>0.1</v>
      </c>
      <c r="M93" s="5">
        <v>166320</v>
      </c>
      <c r="N93" s="5">
        <v>28000</v>
      </c>
      <c r="O93" s="3" t="s">
        <v>13</v>
      </c>
      <c r="P93" s="3" t="s">
        <v>37</v>
      </c>
    </row>
    <row r="94" spans="1:16" x14ac:dyDescent="0.25">
      <c r="A94" s="3">
        <v>100093</v>
      </c>
      <c r="B94" s="4">
        <v>46139</v>
      </c>
      <c r="C94" s="3" t="s">
        <v>22</v>
      </c>
      <c r="D94" s="3" t="s">
        <v>7</v>
      </c>
      <c r="E94" s="3" t="s">
        <v>33</v>
      </c>
      <c r="F94" s="3" t="s">
        <v>34</v>
      </c>
      <c r="G94" s="3" t="s">
        <v>50</v>
      </c>
      <c r="H94" s="3" t="s">
        <v>126</v>
      </c>
      <c r="I94" s="3" t="s">
        <v>20</v>
      </c>
      <c r="J94" s="3">
        <v>5</v>
      </c>
      <c r="K94" s="5">
        <v>9000</v>
      </c>
      <c r="L94" s="6">
        <v>0.2</v>
      </c>
      <c r="M94" s="5">
        <v>36000</v>
      </c>
      <c r="N94" s="3"/>
      <c r="O94" s="3" t="s">
        <v>13</v>
      </c>
      <c r="P94" s="3" t="s">
        <v>44</v>
      </c>
    </row>
    <row r="95" spans="1:16" x14ac:dyDescent="0.25">
      <c r="A95" s="3">
        <v>100094</v>
      </c>
      <c r="B95" s="4">
        <v>46223</v>
      </c>
      <c r="C95" s="3" t="s">
        <v>32</v>
      </c>
      <c r="D95" s="3" t="s">
        <v>16</v>
      </c>
      <c r="E95" s="3" t="s">
        <v>33</v>
      </c>
      <c r="F95" s="3" t="s">
        <v>9</v>
      </c>
      <c r="G95" s="3" t="s">
        <v>42</v>
      </c>
      <c r="H95" s="3" t="s">
        <v>79</v>
      </c>
      <c r="I95" s="3" t="s">
        <v>20</v>
      </c>
      <c r="J95" s="3">
        <v>4</v>
      </c>
      <c r="K95" s="5">
        <v>42000</v>
      </c>
      <c r="L95" s="6">
        <v>0.05</v>
      </c>
      <c r="M95" s="5">
        <v>127680</v>
      </c>
      <c r="N95" s="5">
        <v>28000</v>
      </c>
      <c r="O95" s="3" t="s">
        <v>13</v>
      </c>
      <c r="P95" s="3" t="s">
        <v>44</v>
      </c>
    </row>
    <row r="96" spans="1:16" x14ac:dyDescent="0.25">
      <c r="A96" s="3">
        <v>100095</v>
      </c>
      <c r="B96" s="4">
        <v>46148</v>
      </c>
      <c r="C96" s="3" t="s">
        <v>15</v>
      </c>
      <c r="D96" s="3" t="s">
        <v>16</v>
      </c>
      <c r="E96" s="3" t="s">
        <v>27</v>
      </c>
      <c r="F96" s="3" t="s">
        <v>34</v>
      </c>
      <c r="G96" s="3" t="s">
        <v>50</v>
      </c>
      <c r="H96" s="3" t="s">
        <v>127</v>
      </c>
      <c r="I96" s="3" t="s">
        <v>12</v>
      </c>
      <c r="J96" s="3">
        <v>1</v>
      </c>
      <c r="K96" s="5">
        <v>9000</v>
      </c>
      <c r="L96" s="6">
        <v>0.05</v>
      </c>
      <c r="M96" s="5">
        <v>8550</v>
      </c>
      <c r="N96" s="5">
        <v>3500</v>
      </c>
      <c r="O96" s="3" t="s">
        <v>13</v>
      </c>
      <c r="P96" s="3" t="s">
        <v>74</v>
      </c>
    </row>
    <row r="97" spans="1:16" x14ac:dyDescent="0.25">
      <c r="A97" s="3">
        <v>100096</v>
      </c>
      <c r="B97" s="4">
        <v>46049</v>
      </c>
      <c r="C97" s="3" t="s">
        <v>6</v>
      </c>
      <c r="D97" s="3" t="s">
        <v>7</v>
      </c>
      <c r="E97" s="3" t="s">
        <v>27</v>
      </c>
      <c r="F97" s="3" t="s">
        <v>17</v>
      </c>
      <c r="G97" s="3" t="s">
        <v>28</v>
      </c>
      <c r="H97" s="3" t="s">
        <v>128</v>
      </c>
      <c r="I97" s="3" t="s">
        <v>20</v>
      </c>
      <c r="J97" s="3">
        <v>3</v>
      </c>
      <c r="K97" s="5">
        <v>26000</v>
      </c>
      <c r="L97" s="6">
        <v>0</v>
      </c>
      <c r="M97" s="5">
        <v>78000</v>
      </c>
      <c r="N97" s="3"/>
      <c r="O97" s="3" t="s">
        <v>13</v>
      </c>
      <c r="P97" s="3" t="s">
        <v>48</v>
      </c>
    </row>
    <row r="98" spans="1:16" x14ac:dyDescent="0.25">
      <c r="A98" s="3">
        <v>100097</v>
      </c>
      <c r="B98" s="4">
        <v>46122</v>
      </c>
      <c r="C98" s="3" t="s">
        <v>45</v>
      </c>
      <c r="D98" s="3" t="s">
        <v>46</v>
      </c>
      <c r="E98" s="3" t="s">
        <v>33</v>
      </c>
      <c r="F98" s="3" t="s">
        <v>17</v>
      </c>
      <c r="G98" s="3" t="s">
        <v>28</v>
      </c>
      <c r="H98" s="3" t="s">
        <v>59</v>
      </c>
      <c r="I98" s="3" t="s">
        <v>20</v>
      </c>
      <c r="J98" s="3">
        <v>4</v>
      </c>
      <c r="K98" s="5">
        <v>26000</v>
      </c>
      <c r="L98" s="6">
        <v>0</v>
      </c>
      <c r="M98" s="5">
        <v>104000</v>
      </c>
      <c r="N98" s="5">
        <v>15000</v>
      </c>
      <c r="O98" s="3" t="s">
        <v>13</v>
      </c>
      <c r="P98" s="3" t="s">
        <v>37</v>
      </c>
    </row>
    <row r="99" spans="1:16" x14ac:dyDescent="0.25">
      <c r="A99" s="3">
        <v>100098</v>
      </c>
      <c r="B99" s="4">
        <v>46074</v>
      </c>
      <c r="C99" s="3" t="s">
        <v>15</v>
      </c>
      <c r="D99" s="3" t="s">
        <v>16</v>
      </c>
      <c r="E99" s="3" t="s">
        <v>27</v>
      </c>
      <c r="F99" s="3" t="s">
        <v>9</v>
      </c>
      <c r="G99" s="3" t="s">
        <v>42</v>
      </c>
      <c r="H99" s="3" t="s">
        <v>72</v>
      </c>
      <c r="I99" s="3" t="s">
        <v>12</v>
      </c>
      <c r="J99" s="3">
        <v>1</v>
      </c>
      <c r="K99" s="5">
        <v>42000</v>
      </c>
      <c r="L99" s="6">
        <v>0.05</v>
      </c>
      <c r="M99" s="5">
        <v>39900</v>
      </c>
      <c r="N99" s="5">
        <v>28000</v>
      </c>
      <c r="O99" s="3" t="s">
        <v>13</v>
      </c>
      <c r="P99" s="3" t="s">
        <v>44</v>
      </c>
    </row>
    <row r="100" spans="1:16" x14ac:dyDescent="0.25">
      <c r="A100" s="3">
        <v>100099</v>
      </c>
      <c r="B100" s="4">
        <v>46089</v>
      </c>
      <c r="C100" s="3" t="s">
        <v>15</v>
      </c>
      <c r="D100" s="3" t="s">
        <v>16</v>
      </c>
      <c r="E100" s="3" t="s">
        <v>33</v>
      </c>
      <c r="F100" s="3" t="s">
        <v>17</v>
      </c>
      <c r="G100" s="3" t="s">
        <v>23</v>
      </c>
      <c r="H100" s="3" t="s">
        <v>43</v>
      </c>
      <c r="I100" s="3" t="s">
        <v>12</v>
      </c>
      <c r="J100" s="3">
        <v>2</v>
      </c>
      <c r="K100" s="5">
        <v>32000</v>
      </c>
      <c r="L100" s="6">
        <v>0</v>
      </c>
      <c r="M100" s="5">
        <v>64000</v>
      </c>
      <c r="N100" s="5">
        <v>19000</v>
      </c>
      <c r="O100" s="3" t="s">
        <v>13</v>
      </c>
      <c r="P100" s="3" t="s">
        <v>44</v>
      </c>
    </row>
    <row r="101" spans="1:16" x14ac:dyDescent="0.25">
      <c r="A101" s="3">
        <v>100100</v>
      </c>
      <c r="B101" s="4">
        <v>46086</v>
      </c>
      <c r="C101" s="3" t="s">
        <v>32</v>
      </c>
      <c r="D101" s="3" t="s">
        <v>16</v>
      </c>
      <c r="E101" s="3" t="s">
        <v>33</v>
      </c>
      <c r="F101" s="3" t="s">
        <v>17</v>
      </c>
      <c r="G101" s="3" t="s">
        <v>23</v>
      </c>
      <c r="H101" s="3" t="s">
        <v>77</v>
      </c>
      <c r="I101" s="3" t="s">
        <v>12</v>
      </c>
      <c r="J101" s="3">
        <v>3</v>
      </c>
      <c r="K101" s="5">
        <v>32000</v>
      </c>
      <c r="L101" s="6">
        <v>0.05</v>
      </c>
      <c r="M101" s="5">
        <v>91200</v>
      </c>
      <c r="N101" s="5">
        <v>19000</v>
      </c>
      <c r="O101" s="3" t="s">
        <v>13</v>
      </c>
      <c r="P101" s="3" t="s">
        <v>54</v>
      </c>
    </row>
    <row r="102" spans="1:16" x14ac:dyDescent="0.25">
      <c r="A102" s="3">
        <v>100101</v>
      </c>
      <c r="B102" s="4">
        <v>46213</v>
      </c>
      <c r="C102" s="3" t="s">
        <v>6</v>
      </c>
      <c r="D102" s="3" t="s">
        <v>7</v>
      </c>
      <c r="E102" s="3" t="s">
        <v>33</v>
      </c>
      <c r="F102" s="3" t="s">
        <v>34</v>
      </c>
      <c r="G102" s="3" t="s">
        <v>50</v>
      </c>
      <c r="H102" s="3" t="s">
        <v>129</v>
      </c>
      <c r="I102" s="3" t="s">
        <v>20</v>
      </c>
      <c r="J102" s="3">
        <v>5</v>
      </c>
      <c r="K102" s="5">
        <v>9000</v>
      </c>
      <c r="L102" s="6">
        <v>0.05</v>
      </c>
      <c r="M102" s="5">
        <v>42750</v>
      </c>
      <c r="N102" s="5">
        <v>3500</v>
      </c>
      <c r="O102" s="3" t="s">
        <v>13</v>
      </c>
      <c r="P102" s="3" t="s">
        <v>14</v>
      </c>
    </row>
    <row r="103" spans="1:16" x14ac:dyDescent="0.25">
      <c r="A103" s="3">
        <v>100102</v>
      </c>
      <c r="B103" s="4">
        <v>46199</v>
      </c>
      <c r="C103" s="3" t="s">
        <v>32</v>
      </c>
      <c r="D103" s="3" t="s">
        <v>16</v>
      </c>
      <c r="E103" s="3" t="s">
        <v>8</v>
      </c>
      <c r="F103" s="3" t="s">
        <v>9</v>
      </c>
      <c r="G103" s="3" t="s">
        <v>52</v>
      </c>
      <c r="H103" s="3" t="s">
        <v>130</v>
      </c>
      <c r="I103" s="3" t="s">
        <v>20</v>
      </c>
      <c r="J103" s="3">
        <v>2</v>
      </c>
      <c r="K103" s="5">
        <v>24000</v>
      </c>
      <c r="L103" s="6">
        <v>0</v>
      </c>
      <c r="M103" s="5">
        <v>48000</v>
      </c>
      <c r="N103" s="5">
        <v>15000</v>
      </c>
      <c r="O103" s="3" t="s">
        <v>13</v>
      </c>
      <c r="P103" s="3" t="s">
        <v>54</v>
      </c>
    </row>
    <row r="104" spans="1:16" x14ac:dyDescent="0.25">
      <c r="A104" s="3">
        <v>100103</v>
      </c>
      <c r="B104" s="4">
        <v>46193</v>
      </c>
      <c r="C104" s="3" t="s">
        <v>22</v>
      </c>
      <c r="D104" s="3" t="s">
        <v>7</v>
      </c>
      <c r="E104" s="3" t="s">
        <v>27</v>
      </c>
      <c r="F104" s="3" t="s">
        <v>17</v>
      </c>
      <c r="G104" s="3" t="s">
        <v>18</v>
      </c>
      <c r="H104" s="3" t="s">
        <v>131</v>
      </c>
      <c r="I104" s="3" t="s">
        <v>12</v>
      </c>
      <c r="J104" s="3">
        <v>1</v>
      </c>
      <c r="K104" s="5">
        <v>165000</v>
      </c>
      <c r="L104" s="6">
        <v>0</v>
      </c>
      <c r="M104" s="5">
        <v>165000</v>
      </c>
      <c r="N104" s="5">
        <v>112000</v>
      </c>
      <c r="O104" s="3" t="s">
        <v>66</v>
      </c>
      <c r="P104" s="3" t="s">
        <v>37</v>
      </c>
    </row>
    <row r="105" spans="1:16" x14ac:dyDescent="0.25">
      <c r="A105" s="3">
        <v>100104</v>
      </c>
      <c r="B105" s="4">
        <v>46066</v>
      </c>
      <c r="C105" s="3" t="s">
        <v>15</v>
      </c>
      <c r="D105" s="3" t="s">
        <v>16</v>
      </c>
      <c r="E105" s="3" t="s">
        <v>33</v>
      </c>
      <c r="F105" s="3" t="s">
        <v>17</v>
      </c>
      <c r="G105" s="3" t="s">
        <v>18</v>
      </c>
      <c r="H105" s="3" t="s">
        <v>132</v>
      </c>
      <c r="I105" s="3" t="s">
        <v>12</v>
      </c>
      <c r="J105" s="3">
        <v>3</v>
      </c>
      <c r="K105" s="5">
        <v>165000</v>
      </c>
      <c r="L105" s="6">
        <v>0</v>
      </c>
      <c r="M105" s="5">
        <v>495000</v>
      </c>
      <c r="N105" s="5">
        <v>112000</v>
      </c>
      <c r="O105" s="3" t="s">
        <v>13</v>
      </c>
      <c r="P105" s="3" t="s">
        <v>30</v>
      </c>
    </row>
    <row r="106" spans="1:16" x14ac:dyDescent="0.25">
      <c r="A106" s="3">
        <v>100105</v>
      </c>
      <c r="B106" s="4">
        <v>46177</v>
      </c>
      <c r="C106" s="3" t="s">
        <v>40</v>
      </c>
      <c r="D106" s="3" t="s">
        <v>41</v>
      </c>
      <c r="E106" s="3" t="s">
        <v>8</v>
      </c>
      <c r="F106" s="3" t="s">
        <v>9</v>
      </c>
      <c r="G106" s="3" t="s">
        <v>10</v>
      </c>
      <c r="H106" s="3" t="s">
        <v>133</v>
      </c>
      <c r="I106" s="3" t="s">
        <v>12</v>
      </c>
      <c r="J106" s="3">
        <v>2</v>
      </c>
      <c r="K106" s="5">
        <v>58000</v>
      </c>
      <c r="L106" s="6">
        <v>0</v>
      </c>
      <c r="M106" s="5">
        <v>116000</v>
      </c>
      <c r="N106" s="5">
        <v>39000</v>
      </c>
      <c r="O106" s="3" t="s">
        <v>13</v>
      </c>
      <c r="P106" s="3" t="s">
        <v>48</v>
      </c>
    </row>
    <row r="107" spans="1:16" x14ac:dyDescent="0.25">
      <c r="A107" s="3">
        <v>100106</v>
      </c>
      <c r="B107" s="4">
        <v>46082</v>
      </c>
      <c r="C107" s="3" t="s">
        <v>40</v>
      </c>
      <c r="D107" s="3" t="s">
        <v>41</v>
      </c>
      <c r="E107" s="3" t="s">
        <v>33</v>
      </c>
      <c r="F107" s="3" t="s">
        <v>9</v>
      </c>
      <c r="G107" s="3" t="s">
        <v>42</v>
      </c>
      <c r="H107" s="3" t="s">
        <v>134</v>
      </c>
      <c r="I107" s="3" t="s">
        <v>20</v>
      </c>
      <c r="J107" s="3">
        <v>5</v>
      </c>
      <c r="K107" s="5">
        <v>42000</v>
      </c>
      <c r="L107" s="6">
        <v>0.05</v>
      </c>
      <c r="M107" s="5">
        <v>199500</v>
      </c>
      <c r="N107" s="5">
        <v>28000</v>
      </c>
      <c r="O107" s="3" t="s">
        <v>13</v>
      </c>
      <c r="P107" s="3" t="s">
        <v>21</v>
      </c>
    </row>
    <row r="108" spans="1:16" x14ac:dyDescent="0.25">
      <c r="A108" s="3">
        <v>100107</v>
      </c>
      <c r="B108" s="4">
        <v>46049</v>
      </c>
      <c r="C108" s="3" t="s">
        <v>45</v>
      </c>
      <c r="D108" s="3" t="s">
        <v>46</v>
      </c>
      <c r="E108" s="3" t="s">
        <v>33</v>
      </c>
      <c r="F108" s="3" t="s">
        <v>9</v>
      </c>
      <c r="G108" s="3" t="s">
        <v>10</v>
      </c>
      <c r="H108" s="3" t="s">
        <v>29</v>
      </c>
      <c r="I108" s="3" t="s">
        <v>20</v>
      </c>
      <c r="J108" s="3">
        <v>1</v>
      </c>
      <c r="K108" s="5">
        <v>58000</v>
      </c>
      <c r="L108" s="6">
        <v>0.1</v>
      </c>
      <c r="M108" s="5">
        <v>52200</v>
      </c>
      <c r="N108" s="5">
        <v>39000</v>
      </c>
      <c r="O108" s="3" t="s">
        <v>13</v>
      </c>
      <c r="P108" s="3" t="s">
        <v>74</v>
      </c>
    </row>
    <row r="109" spans="1:16" x14ac:dyDescent="0.25">
      <c r="A109" s="3">
        <v>100108</v>
      </c>
      <c r="B109" s="4">
        <v>46164</v>
      </c>
      <c r="C109" s="3" t="s">
        <v>6</v>
      </c>
      <c r="D109" s="3" t="s">
        <v>7</v>
      </c>
      <c r="E109" s="3" t="s">
        <v>33</v>
      </c>
      <c r="F109" s="3" t="s">
        <v>34</v>
      </c>
      <c r="G109" s="3" t="s">
        <v>35</v>
      </c>
      <c r="H109" s="3" t="s">
        <v>135</v>
      </c>
      <c r="I109" s="3" t="s">
        <v>20</v>
      </c>
      <c r="J109" s="3">
        <v>1</v>
      </c>
      <c r="K109" s="5">
        <v>6500</v>
      </c>
      <c r="L109" s="6">
        <v>0.15</v>
      </c>
      <c r="M109" s="5">
        <v>5525</v>
      </c>
      <c r="N109" s="5">
        <v>2200</v>
      </c>
      <c r="O109" s="3" t="s">
        <v>13</v>
      </c>
      <c r="P109" s="3" t="s">
        <v>48</v>
      </c>
    </row>
    <row r="110" spans="1:16" x14ac:dyDescent="0.25">
      <c r="A110" s="3">
        <v>100109</v>
      </c>
      <c r="B110" s="4">
        <v>46234</v>
      </c>
      <c r="C110" s="3" t="s">
        <v>6</v>
      </c>
      <c r="D110" s="3" t="s">
        <v>7</v>
      </c>
      <c r="E110" s="3" t="s">
        <v>8</v>
      </c>
      <c r="F110" s="3" t="s">
        <v>34</v>
      </c>
      <c r="G110" s="3" t="s">
        <v>50</v>
      </c>
      <c r="H110" s="3" t="s">
        <v>136</v>
      </c>
      <c r="I110" s="3" t="s">
        <v>20</v>
      </c>
      <c r="J110" s="3">
        <v>2</v>
      </c>
      <c r="K110" s="5">
        <v>9000</v>
      </c>
      <c r="L110" s="6">
        <v>0.15</v>
      </c>
      <c r="M110" s="5">
        <v>15300</v>
      </c>
      <c r="N110" s="5">
        <v>3500</v>
      </c>
      <c r="O110" s="3" t="s">
        <v>13</v>
      </c>
      <c r="P110" s="3" t="s">
        <v>44</v>
      </c>
    </row>
    <row r="111" spans="1:16" x14ac:dyDescent="0.25">
      <c r="A111" s="3">
        <v>100110</v>
      </c>
      <c r="B111" s="4">
        <v>46216</v>
      </c>
      <c r="C111" s="3" t="s">
        <v>32</v>
      </c>
      <c r="D111" s="3" t="s">
        <v>16</v>
      </c>
      <c r="E111" s="3" t="s">
        <v>33</v>
      </c>
      <c r="F111" s="3" t="s">
        <v>9</v>
      </c>
      <c r="G111" s="3" t="s">
        <v>42</v>
      </c>
      <c r="H111" s="3" t="s">
        <v>117</v>
      </c>
      <c r="I111" s="3" t="s">
        <v>12</v>
      </c>
      <c r="J111" s="3">
        <v>1</v>
      </c>
      <c r="K111" s="5">
        <v>42000</v>
      </c>
      <c r="L111" s="6">
        <v>0</v>
      </c>
      <c r="M111" s="5">
        <v>42000</v>
      </c>
      <c r="N111" s="5">
        <v>28000</v>
      </c>
      <c r="O111" s="3" t="s">
        <v>13</v>
      </c>
      <c r="P111" s="3" t="s">
        <v>48</v>
      </c>
    </row>
    <row r="112" spans="1:16" x14ac:dyDescent="0.25">
      <c r="A112" s="3">
        <v>100111</v>
      </c>
      <c r="B112" s="4">
        <v>46234</v>
      </c>
      <c r="C112" s="3" t="s">
        <v>32</v>
      </c>
      <c r="D112" s="3" t="s">
        <v>16</v>
      </c>
      <c r="E112" s="3" t="s">
        <v>33</v>
      </c>
      <c r="F112" s="3" t="s">
        <v>34</v>
      </c>
      <c r="G112" s="3" t="s">
        <v>55</v>
      </c>
      <c r="H112" s="3" t="s">
        <v>137</v>
      </c>
      <c r="I112" s="3" t="s">
        <v>20</v>
      </c>
      <c r="J112" s="3">
        <v>1</v>
      </c>
      <c r="K112" s="5">
        <v>28000</v>
      </c>
      <c r="L112" s="6">
        <v>0.05</v>
      </c>
      <c r="M112" s="5">
        <v>26600</v>
      </c>
      <c r="N112" s="5">
        <v>16000</v>
      </c>
      <c r="O112" s="3" t="s">
        <v>13</v>
      </c>
      <c r="P112" s="3" t="s">
        <v>44</v>
      </c>
    </row>
    <row r="113" spans="1:16" x14ac:dyDescent="0.25">
      <c r="A113" s="3">
        <v>100112</v>
      </c>
      <c r="B113" s="4">
        <v>46048</v>
      </c>
      <c r="C113" s="3" t="s">
        <v>25</v>
      </c>
      <c r="D113" s="3" t="s">
        <v>26</v>
      </c>
      <c r="E113" s="3" t="s">
        <v>33</v>
      </c>
      <c r="F113" s="3" t="s">
        <v>17</v>
      </c>
      <c r="G113" s="3" t="s">
        <v>28</v>
      </c>
      <c r="H113" s="3" t="s">
        <v>138</v>
      </c>
      <c r="I113" s="3" t="s">
        <v>12</v>
      </c>
      <c r="J113" s="3">
        <v>2</v>
      </c>
      <c r="K113" s="5">
        <v>26000</v>
      </c>
      <c r="L113" s="6">
        <v>0.1</v>
      </c>
      <c r="M113" s="5">
        <v>46800</v>
      </c>
      <c r="N113" s="5">
        <v>15000</v>
      </c>
      <c r="O113" s="3" t="s">
        <v>13</v>
      </c>
      <c r="P113" s="3" t="s">
        <v>14</v>
      </c>
    </row>
    <row r="114" spans="1:16" x14ac:dyDescent="0.25">
      <c r="A114" s="3">
        <v>100113</v>
      </c>
      <c r="B114" s="4">
        <v>46065</v>
      </c>
      <c r="C114" s="3" t="s">
        <v>6</v>
      </c>
      <c r="D114" s="3" t="s">
        <v>7</v>
      </c>
      <c r="E114" s="3" t="s">
        <v>33</v>
      </c>
      <c r="F114" s="3" t="s">
        <v>9</v>
      </c>
      <c r="G114" s="3" t="s">
        <v>10</v>
      </c>
      <c r="H114" s="3" t="s">
        <v>102</v>
      </c>
      <c r="I114" s="3" t="s">
        <v>12</v>
      </c>
      <c r="J114" s="3">
        <v>3</v>
      </c>
      <c r="K114" s="5">
        <v>58000</v>
      </c>
      <c r="L114" s="6">
        <v>0.05</v>
      </c>
      <c r="M114" s="5">
        <v>165300</v>
      </c>
      <c r="N114" s="5">
        <v>39000</v>
      </c>
      <c r="O114" s="3" t="s">
        <v>13</v>
      </c>
      <c r="P114" s="3" t="s">
        <v>21</v>
      </c>
    </row>
    <row r="115" spans="1:16" x14ac:dyDescent="0.25">
      <c r="A115" s="3">
        <v>100114</v>
      </c>
      <c r="B115" s="4">
        <v>46194</v>
      </c>
      <c r="C115" s="3" t="s">
        <v>22</v>
      </c>
      <c r="D115" s="3" t="s">
        <v>7</v>
      </c>
      <c r="E115" s="3" t="s">
        <v>27</v>
      </c>
      <c r="F115" s="3" t="s">
        <v>34</v>
      </c>
      <c r="G115" s="3" t="s">
        <v>35</v>
      </c>
      <c r="H115" s="3" t="s">
        <v>81</v>
      </c>
      <c r="I115" s="3" t="s">
        <v>20</v>
      </c>
      <c r="J115" s="3">
        <v>2</v>
      </c>
      <c r="K115" s="5">
        <v>6500</v>
      </c>
      <c r="L115" s="6">
        <v>0.25</v>
      </c>
      <c r="M115" s="5">
        <v>9750</v>
      </c>
      <c r="N115" s="5">
        <v>2200</v>
      </c>
      <c r="O115" s="3" t="s">
        <v>13</v>
      </c>
      <c r="P115" s="3" t="s">
        <v>14</v>
      </c>
    </row>
    <row r="116" spans="1:16" x14ac:dyDescent="0.25">
      <c r="A116" s="3">
        <v>100115</v>
      </c>
      <c r="B116" s="4">
        <v>46112</v>
      </c>
      <c r="C116" s="3" t="s">
        <v>32</v>
      </c>
      <c r="D116" s="3" t="s">
        <v>16</v>
      </c>
      <c r="E116" s="3" t="s">
        <v>27</v>
      </c>
      <c r="F116" s="3" t="s">
        <v>17</v>
      </c>
      <c r="G116" s="3" t="s">
        <v>28</v>
      </c>
      <c r="H116" s="3" t="s">
        <v>139</v>
      </c>
      <c r="I116" s="3" t="s">
        <v>12</v>
      </c>
      <c r="J116" s="3">
        <v>2</v>
      </c>
      <c r="K116" s="5">
        <v>26000</v>
      </c>
      <c r="L116" s="6">
        <v>0.1</v>
      </c>
      <c r="M116" s="5">
        <v>46800</v>
      </c>
      <c r="N116" s="5">
        <v>15000</v>
      </c>
      <c r="O116" s="3" t="s">
        <v>13</v>
      </c>
      <c r="P116" s="3" t="s">
        <v>74</v>
      </c>
    </row>
    <row r="117" spans="1:16" x14ac:dyDescent="0.25">
      <c r="A117" s="3">
        <v>100116</v>
      </c>
      <c r="B117" s="4">
        <v>46056</v>
      </c>
      <c r="C117" s="3" t="s">
        <v>45</v>
      </c>
      <c r="D117" s="3" t="s">
        <v>46</v>
      </c>
      <c r="E117" s="3" t="s">
        <v>33</v>
      </c>
      <c r="F117" s="3" t="s">
        <v>140</v>
      </c>
      <c r="G117" s="3" t="s">
        <v>55</v>
      </c>
      <c r="H117" s="3" t="s">
        <v>97</v>
      </c>
      <c r="I117" s="3" t="s">
        <v>20</v>
      </c>
      <c r="J117" s="3">
        <v>5</v>
      </c>
      <c r="K117" s="5">
        <v>28000</v>
      </c>
      <c r="L117" s="6">
        <v>0</v>
      </c>
      <c r="M117" s="5">
        <v>140000</v>
      </c>
      <c r="N117" s="5">
        <v>16000</v>
      </c>
      <c r="O117" s="3" t="s">
        <v>13</v>
      </c>
      <c r="P117" s="3" t="s">
        <v>21</v>
      </c>
    </row>
    <row r="118" spans="1:16" x14ac:dyDescent="0.25">
      <c r="A118" s="3">
        <v>100117</v>
      </c>
      <c r="B118" s="4">
        <v>46122</v>
      </c>
      <c r="C118" s="3" t="s">
        <v>32</v>
      </c>
      <c r="D118" s="3" t="s">
        <v>16</v>
      </c>
      <c r="E118" s="3" t="s">
        <v>33</v>
      </c>
      <c r="F118" s="3" t="s">
        <v>34</v>
      </c>
      <c r="G118" s="3" t="s">
        <v>50</v>
      </c>
      <c r="H118" s="3" t="s">
        <v>103</v>
      </c>
      <c r="I118" s="3" t="s">
        <v>12</v>
      </c>
      <c r="J118" s="3">
        <v>4</v>
      </c>
      <c r="K118" s="5">
        <v>9000</v>
      </c>
      <c r="L118" s="6">
        <v>0</v>
      </c>
      <c r="M118" s="5">
        <v>36000</v>
      </c>
      <c r="N118" s="5">
        <v>3500</v>
      </c>
      <c r="O118" s="3" t="s">
        <v>13</v>
      </c>
      <c r="P118" s="3" t="s">
        <v>54</v>
      </c>
    </row>
    <row r="119" spans="1:16" x14ac:dyDescent="0.25">
      <c r="A119" s="3">
        <v>100118</v>
      </c>
      <c r="B119" s="4">
        <v>46260</v>
      </c>
      <c r="C119" s="3" t="s">
        <v>40</v>
      </c>
      <c r="D119" s="3" t="s">
        <v>41</v>
      </c>
      <c r="E119" s="3" t="s">
        <v>8</v>
      </c>
      <c r="F119" s="3" t="s">
        <v>17</v>
      </c>
      <c r="G119" s="3" t="s">
        <v>28</v>
      </c>
      <c r="H119" s="3" t="s">
        <v>77</v>
      </c>
      <c r="I119" s="3" t="s">
        <v>12</v>
      </c>
      <c r="J119" s="3">
        <v>3</v>
      </c>
      <c r="K119" s="5">
        <v>26000</v>
      </c>
      <c r="L119" s="6">
        <v>0</v>
      </c>
      <c r="M119" s="5">
        <v>78000</v>
      </c>
      <c r="N119" s="5">
        <v>15000</v>
      </c>
      <c r="O119" s="3" t="s">
        <v>13</v>
      </c>
      <c r="P119" s="3" t="s">
        <v>48</v>
      </c>
    </row>
    <row r="120" spans="1:16" x14ac:dyDescent="0.25">
      <c r="A120" s="3">
        <v>100119</v>
      </c>
      <c r="B120" s="4">
        <v>46201</v>
      </c>
      <c r="C120" s="3" t="s">
        <v>32</v>
      </c>
      <c r="D120" s="3" t="s">
        <v>16</v>
      </c>
      <c r="E120" s="3" t="s">
        <v>8</v>
      </c>
      <c r="F120" s="3" t="s">
        <v>34</v>
      </c>
      <c r="G120" s="3" t="s">
        <v>50</v>
      </c>
      <c r="H120" s="3" t="s">
        <v>49</v>
      </c>
      <c r="I120" s="3" t="s">
        <v>20</v>
      </c>
      <c r="J120" s="3">
        <v>4</v>
      </c>
      <c r="K120" s="5">
        <v>9000</v>
      </c>
      <c r="L120" s="6">
        <v>0</v>
      </c>
      <c r="M120" s="5">
        <v>36000</v>
      </c>
      <c r="N120" s="5">
        <v>3500</v>
      </c>
      <c r="O120" s="3" t="s">
        <v>13</v>
      </c>
      <c r="P120" s="3" t="s">
        <v>44</v>
      </c>
    </row>
    <row r="121" spans="1:16" x14ac:dyDescent="0.25">
      <c r="A121" s="3">
        <v>100120</v>
      </c>
      <c r="B121" s="4">
        <v>46048</v>
      </c>
      <c r="C121" s="3" t="s">
        <v>15</v>
      </c>
      <c r="D121" s="3" t="s">
        <v>16</v>
      </c>
      <c r="E121" s="3" t="s">
        <v>33</v>
      </c>
      <c r="F121" s="3" t="s">
        <v>17</v>
      </c>
      <c r="G121" s="3" t="s">
        <v>18</v>
      </c>
      <c r="H121" s="3" t="s">
        <v>141</v>
      </c>
      <c r="I121" s="3" t="s">
        <v>20</v>
      </c>
      <c r="J121" s="3">
        <v>1</v>
      </c>
      <c r="K121" s="5">
        <v>165000</v>
      </c>
      <c r="L121" s="6">
        <v>0</v>
      </c>
      <c r="M121" s="5">
        <v>165000</v>
      </c>
      <c r="N121" s="5">
        <v>112000</v>
      </c>
      <c r="O121" s="3" t="s">
        <v>66</v>
      </c>
      <c r="P121" s="3" t="s">
        <v>48</v>
      </c>
    </row>
    <row r="122" spans="1:16" x14ac:dyDescent="0.25">
      <c r="A122" s="3">
        <v>100121</v>
      </c>
      <c r="B122" s="4">
        <v>46248</v>
      </c>
      <c r="C122" s="3" t="s">
        <v>40</v>
      </c>
      <c r="D122" s="3" t="s">
        <v>41</v>
      </c>
      <c r="E122" s="3" t="s">
        <v>33</v>
      </c>
      <c r="F122" s="3" t="s">
        <v>34</v>
      </c>
      <c r="G122" s="3" t="s">
        <v>50</v>
      </c>
      <c r="H122" s="3" t="s">
        <v>142</v>
      </c>
      <c r="I122" s="3" t="s">
        <v>12</v>
      </c>
      <c r="J122" s="3">
        <v>4</v>
      </c>
      <c r="K122" s="5">
        <v>9000</v>
      </c>
      <c r="L122" s="6">
        <v>0</v>
      </c>
      <c r="M122" s="5">
        <v>32400</v>
      </c>
      <c r="N122" s="5">
        <v>3500</v>
      </c>
      <c r="O122" s="3" t="s">
        <v>13</v>
      </c>
      <c r="P122" s="3" t="s">
        <v>37</v>
      </c>
    </row>
    <row r="123" spans="1:16" x14ac:dyDescent="0.25">
      <c r="A123" s="3">
        <v>100122</v>
      </c>
      <c r="B123" s="4">
        <v>46226</v>
      </c>
      <c r="C123" s="3" t="s">
        <v>45</v>
      </c>
      <c r="D123" s="3" t="s">
        <v>46</v>
      </c>
      <c r="E123" s="3" t="s">
        <v>33</v>
      </c>
      <c r="F123" s="3" t="s">
        <v>9</v>
      </c>
      <c r="G123" s="3" t="s">
        <v>52</v>
      </c>
      <c r="H123" s="3" t="s">
        <v>71</v>
      </c>
      <c r="I123" s="3" t="s">
        <v>12</v>
      </c>
      <c r="J123" s="3">
        <v>3</v>
      </c>
      <c r="K123" s="5">
        <v>24000</v>
      </c>
      <c r="L123" s="6">
        <v>0</v>
      </c>
      <c r="M123" s="5">
        <v>72000</v>
      </c>
      <c r="N123" s="5">
        <v>15000</v>
      </c>
      <c r="O123" s="3" t="s">
        <v>13</v>
      </c>
      <c r="P123" s="3" t="s">
        <v>54</v>
      </c>
    </row>
    <row r="124" spans="1:16" x14ac:dyDescent="0.25">
      <c r="A124" s="3">
        <v>100123</v>
      </c>
      <c r="B124" s="4">
        <v>46172</v>
      </c>
      <c r="C124" s="3" t="s">
        <v>22</v>
      </c>
      <c r="D124" s="3" t="s">
        <v>7</v>
      </c>
      <c r="E124" s="3" t="s">
        <v>33</v>
      </c>
      <c r="F124" s="3" t="s">
        <v>17</v>
      </c>
      <c r="G124" s="3" t="s">
        <v>23</v>
      </c>
      <c r="H124" s="3" t="s">
        <v>121</v>
      </c>
      <c r="I124" s="3" t="s">
        <v>20</v>
      </c>
      <c r="J124" s="3">
        <v>4</v>
      </c>
      <c r="K124" s="5">
        <v>32000</v>
      </c>
      <c r="L124" s="6">
        <v>0.1</v>
      </c>
      <c r="M124" s="5">
        <v>115200</v>
      </c>
      <c r="N124" s="5">
        <v>19000</v>
      </c>
      <c r="O124" s="3" t="s">
        <v>13</v>
      </c>
      <c r="P124" s="3" t="s">
        <v>44</v>
      </c>
    </row>
    <row r="125" spans="1:16" x14ac:dyDescent="0.25">
      <c r="A125" s="3">
        <v>100124</v>
      </c>
      <c r="B125" s="4">
        <v>46227</v>
      </c>
      <c r="C125" s="3" t="s">
        <v>25</v>
      </c>
      <c r="D125" s="3" t="s">
        <v>26</v>
      </c>
      <c r="E125" s="3" t="s">
        <v>27</v>
      </c>
      <c r="F125" s="3" t="s">
        <v>17</v>
      </c>
      <c r="G125" s="3" t="s">
        <v>23</v>
      </c>
      <c r="H125" s="3" t="s">
        <v>91</v>
      </c>
      <c r="I125" s="3" t="s">
        <v>20</v>
      </c>
      <c r="J125" s="3">
        <v>3</v>
      </c>
      <c r="K125" s="5">
        <v>32000</v>
      </c>
      <c r="L125" s="6">
        <v>0.15</v>
      </c>
      <c r="M125" s="5">
        <v>81600</v>
      </c>
      <c r="N125" s="5">
        <v>19000</v>
      </c>
      <c r="O125" s="3" t="s">
        <v>13</v>
      </c>
      <c r="P125" s="3" t="s">
        <v>48</v>
      </c>
    </row>
    <row r="126" spans="1:16" x14ac:dyDescent="0.25">
      <c r="A126" s="3">
        <v>100125</v>
      </c>
      <c r="B126" s="4">
        <v>46081</v>
      </c>
      <c r="C126" s="3" t="s">
        <v>45</v>
      </c>
      <c r="D126" s="3" t="s">
        <v>46</v>
      </c>
      <c r="E126" s="3" t="s">
        <v>33</v>
      </c>
      <c r="F126" s="3" t="s">
        <v>17</v>
      </c>
      <c r="G126" s="3" t="s">
        <v>23</v>
      </c>
      <c r="H126" s="3" t="s">
        <v>63</v>
      </c>
      <c r="I126" s="3" t="s">
        <v>20</v>
      </c>
      <c r="J126" s="3">
        <v>3</v>
      </c>
      <c r="K126" s="5">
        <v>32000</v>
      </c>
      <c r="L126" s="6">
        <v>0.15</v>
      </c>
      <c r="M126" s="5">
        <v>81600</v>
      </c>
      <c r="N126" s="5">
        <v>19000</v>
      </c>
      <c r="O126" s="3" t="s">
        <v>13</v>
      </c>
      <c r="P126" s="3" t="s">
        <v>14</v>
      </c>
    </row>
    <row r="127" spans="1:16" x14ac:dyDescent="0.25">
      <c r="A127" s="3">
        <v>100126</v>
      </c>
      <c r="B127" s="4">
        <v>46221</v>
      </c>
      <c r="C127" s="3" t="s">
        <v>6</v>
      </c>
      <c r="D127" s="3" t="s">
        <v>7</v>
      </c>
      <c r="E127" s="3" t="s">
        <v>8</v>
      </c>
      <c r="F127" s="3" t="s">
        <v>17</v>
      </c>
      <c r="G127" s="3" t="s">
        <v>18</v>
      </c>
      <c r="H127" s="3" t="s">
        <v>64</v>
      </c>
      <c r="I127" s="3" t="s">
        <v>20</v>
      </c>
      <c r="J127" s="3">
        <v>2</v>
      </c>
      <c r="K127" s="5">
        <v>165000</v>
      </c>
      <c r="L127" s="6">
        <v>0.25</v>
      </c>
      <c r="M127" s="5">
        <v>247500</v>
      </c>
      <c r="N127" s="5">
        <v>112000</v>
      </c>
      <c r="O127" s="3" t="s">
        <v>13</v>
      </c>
      <c r="P127" s="3" t="s">
        <v>54</v>
      </c>
    </row>
    <row r="128" spans="1:16" x14ac:dyDescent="0.25">
      <c r="A128" s="3">
        <v>100127</v>
      </c>
      <c r="B128" s="4">
        <v>46032</v>
      </c>
      <c r="C128" s="3" t="s">
        <v>22</v>
      </c>
      <c r="D128" s="3" t="s">
        <v>7</v>
      </c>
      <c r="E128" s="3" t="s">
        <v>27</v>
      </c>
      <c r="F128" s="3" t="s">
        <v>34</v>
      </c>
      <c r="G128" s="3" t="s">
        <v>50</v>
      </c>
      <c r="H128" s="3" t="s">
        <v>143</v>
      </c>
      <c r="I128" s="3" t="s">
        <v>20</v>
      </c>
      <c r="J128" s="3">
        <v>3</v>
      </c>
      <c r="K128" s="5">
        <v>9000</v>
      </c>
      <c r="L128" s="6">
        <v>0.25</v>
      </c>
      <c r="M128" s="5">
        <v>20250</v>
      </c>
      <c r="N128" s="3"/>
      <c r="O128" s="3" t="s">
        <v>13</v>
      </c>
      <c r="P128" s="3" t="s">
        <v>37</v>
      </c>
    </row>
    <row r="129" spans="1:16" x14ac:dyDescent="0.25">
      <c r="A129" s="3">
        <v>100128</v>
      </c>
      <c r="B129" s="4">
        <v>46113</v>
      </c>
      <c r="C129" s="3" t="s">
        <v>22</v>
      </c>
      <c r="D129" s="3" t="s">
        <v>7</v>
      </c>
      <c r="E129" s="3" t="s">
        <v>8</v>
      </c>
      <c r="F129" s="3" t="s">
        <v>17</v>
      </c>
      <c r="G129" s="3" t="s">
        <v>18</v>
      </c>
      <c r="H129" s="3" t="s">
        <v>142</v>
      </c>
      <c r="I129" s="3" t="s">
        <v>12</v>
      </c>
      <c r="J129" s="3">
        <v>2</v>
      </c>
      <c r="K129" s="5">
        <v>165000</v>
      </c>
      <c r="L129" s="6">
        <v>0</v>
      </c>
      <c r="M129" s="5">
        <v>330000</v>
      </c>
      <c r="N129" s="3"/>
      <c r="O129" s="3" t="s">
        <v>13</v>
      </c>
      <c r="P129" s="3" t="s">
        <v>48</v>
      </c>
    </row>
    <row r="130" spans="1:16" x14ac:dyDescent="0.25">
      <c r="A130" s="3">
        <v>100129</v>
      </c>
      <c r="B130" s="4">
        <v>46114</v>
      </c>
      <c r="C130" s="3" t="s">
        <v>45</v>
      </c>
      <c r="D130" s="3" t="s">
        <v>46</v>
      </c>
      <c r="E130" s="3" t="s">
        <v>8</v>
      </c>
      <c r="F130" s="3" t="s">
        <v>34</v>
      </c>
      <c r="G130" s="3" t="s">
        <v>55</v>
      </c>
      <c r="H130" s="3" t="s">
        <v>144</v>
      </c>
      <c r="I130" s="3" t="s">
        <v>12</v>
      </c>
      <c r="J130" s="3">
        <v>2</v>
      </c>
      <c r="K130" s="5">
        <v>28000</v>
      </c>
      <c r="L130" s="6">
        <v>0.05</v>
      </c>
      <c r="M130" s="5">
        <v>53200</v>
      </c>
      <c r="N130" s="5">
        <v>16000</v>
      </c>
      <c r="O130" s="3" t="s">
        <v>13</v>
      </c>
      <c r="P130" s="3" t="s">
        <v>14</v>
      </c>
    </row>
    <row r="131" spans="1:16" x14ac:dyDescent="0.25">
      <c r="A131" s="3">
        <v>100130</v>
      </c>
      <c r="B131" s="4">
        <v>46126</v>
      </c>
      <c r="C131" s="3" t="s">
        <v>32</v>
      </c>
      <c r="D131" s="3" t="s">
        <v>16</v>
      </c>
      <c r="E131" s="3" t="s">
        <v>8</v>
      </c>
      <c r="F131" s="3" t="s">
        <v>34</v>
      </c>
      <c r="G131" s="3" t="s">
        <v>50</v>
      </c>
      <c r="H131" s="3" t="s">
        <v>145</v>
      </c>
      <c r="I131" s="3" t="s">
        <v>12</v>
      </c>
      <c r="J131" s="3">
        <v>2</v>
      </c>
      <c r="K131" s="5">
        <v>9000</v>
      </c>
      <c r="L131" s="6">
        <v>0</v>
      </c>
      <c r="M131" s="5">
        <v>18000</v>
      </c>
      <c r="N131" s="5">
        <v>3500</v>
      </c>
      <c r="O131" s="3" t="s">
        <v>13</v>
      </c>
      <c r="P131" s="3" t="s">
        <v>21</v>
      </c>
    </row>
    <row r="132" spans="1:16" x14ac:dyDescent="0.25">
      <c r="A132" s="3">
        <v>100131</v>
      </c>
      <c r="B132" s="4">
        <v>46090</v>
      </c>
      <c r="C132" s="3" t="s">
        <v>32</v>
      </c>
      <c r="D132" s="3" t="s">
        <v>16</v>
      </c>
      <c r="E132" s="3" t="s">
        <v>8</v>
      </c>
      <c r="F132" s="3" t="s">
        <v>9</v>
      </c>
      <c r="G132" s="3" t="s">
        <v>42</v>
      </c>
      <c r="H132" s="3" t="s">
        <v>146</v>
      </c>
      <c r="I132" s="3" t="s">
        <v>12</v>
      </c>
      <c r="J132" s="3">
        <v>1</v>
      </c>
      <c r="K132" s="5">
        <v>42000</v>
      </c>
      <c r="L132" s="6">
        <v>0</v>
      </c>
      <c r="M132" s="5">
        <v>42000</v>
      </c>
      <c r="N132" s="5">
        <v>28000</v>
      </c>
      <c r="O132" s="3" t="s">
        <v>13</v>
      </c>
      <c r="P132" s="3" t="s">
        <v>48</v>
      </c>
    </row>
    <row r="133" spans="1:16" x14ac:dyDescent="0.25">
      <c r="A133" s="3">
        <v>100132</v>
      </c>
      <c r="B133" s="4">
        <v>46258</v>
      </c>
      <c r="C133" s="3" t="s">
        <v>45</v>
      </c>
      <c r="D133" s="3" t="s">
        <v>46</v>
      </c>
      <c r="E133" s="3" t="s">
        <v>33</v>
      </c>
      <c r="F133" s="3" t="s">
        <v>17</v>
      </c>
      <c r="G133" s="3" t="s">
        <v>28</v>
      </c>
      <c r="H133" s="3" t="s">
        <v>147</v>
      </c>
      <c r="I133" s="3" t="s">
        <v>20</v>
      </c>
      <c r="J133" s="3">
        <v>4</v>
      </c>
      <c r="K133" s="5">
        <v>26000</v>
      </c>
      <c r="L133" s="6">
        <v>0</v>
      </c>
      <c r="M133" s="5">
        <v>104000</v>
      </c>
      <c r="N133" s="5">
        <v>15000</v>
      </c>
      <c r="O133" s="3" t="s">
        <v>13</v>
      </c>
      <c r="P133" s="3" t="s">
        <v>74</v>
      </c>
    </row>
    <row r="134" spans="1:16" x14ac:dyDescent="0.25">
      <c r="A134" s="3">
        <v>100133</v>
      </c>
      <c r="B134" s="4">
        <v>46202</v>
      </c>
      <c r="C134" s="3" t="s">
        <v>25</v>
      </c>
      <c r="D134" s="3" t="s">
        <v>26</v>
      </c>
      <c r="E134" s="3" t="s">
        <v>33</v>
      </c>
      <c r="F134" s="3" t="s">
        <v>9</v>
      </c>
      <c r="G134" s="3" t="s">
        <v>52</v>
      </c>
      <c r="H134" s="3" t="s">
        <v>47</v>
      </c>
      <c r="I134" s="3" t="s">
        <v>20</v>
      </c>
      <c r="J134" s="3">
        <v>1</v>
      </c>
      <c r="K134" s="5">
        <v>24000</v>
      </c>
      <c r="L134" s="6">
        <v>0</v>
      </c>
      <c r="M134" s="5">
        <v>24000</v>
      </c>
      <c r="N134" s="5">
        <v>15000</v>
      </c>
      <c r="O134" s="3" t="s">
        <v>13</v>
      </c>
      <c r="P134" s="3" t="s">
        <v>21</v>
      </c>
    </row>
    <row r="135" spans="1:16" x14ac:dyDescent="0.25">
      <c r="A135" s="3">
        <v>100134</v>
      </c>
      <c r="B135" s="4">
        <v>46145</v>
      </c>
      <c r="C135" s="3" t="s">
        <v>6</v>
      </c>
      <c r="D135" s="3" t="s">
        <v>7</v>
      </c>
      <c r="E135" s="3" t="s">
        <v>27</v>
      </c>
      <c r="F135" s="3" t="s">
        <v>9</v>
      </c>
      <c r="G135" s="3" t="s">
        <v>10</v>
      </c>
      <c r="H135" s="3" t="s">
        <v>148</v>
      </c>
      <c r="I135" s="3" t="s">
        <v>20</v>
      </c>
      <c r="J135" s="3">
        <v>3</v>
      </c>
      <c r="K135" s="5">
        <v>58000</v>
      </c>
      <c r="L135" s="6">
        <v>0.25</v>
      </c>
      <c r="M135" s="5">
        <v>130500</v>
      </c>
      <c r="N135" s="5">
        <v>39000</v>
      </c>
      <c r="O135" s="3" t="s">
        <v>13</v>
      </c>
      <c r="P135" s="3" t="s">
        <v>54</v>
      </c>
    </row>
    <row r="136" spans="1:16" x14ac:dyDescent="0.25">
      <c r="A136" s="3">
        <v>100135</v>
      </c>
      <c r="B136" s="4">
        <v>46121</v>
      </c>
      <c r="C136" s="3" t="s">
        <v>25</v>
      </c>
      <c r="D136" s="3" t="s">
        <v>26</v>
      </c>
      <c r="E136" s="3" t="s">
        <v>8</v>
      </c>
      <c r="F136" s="3" t="s">
        <v>9</v>
      </c>
      <c r="G136" s="3" t="s">
        <v>52</v>
      </c>
      <c r="H136" s="3" t="s">
        <v>149</v>
      </c>
      <c r="I136" s="3" t="s">
        <v>20</v>
      </c>
      <c r="J136" s="3">
        <v>1</v>
      </c>
      <c r="K136" s="5">
        <v>24000</v>
      </c>
      <c r="L136" s="6">
        <v>0.15</v>
      </c>
      <c r="M136" s="5">
        <v>20400</v>
      </c>
      <c r="N136" s="5">
        <v>15000</v>
      </c>
      <c r="O136" s="3" t="s">
        <v>13</v>
      </c>
      <c r="P136" s="3" t="s">
        <v>21</v>
      </c>
    </row>
    <row r="137" spans="1:16" x14ac:dyDescent="0.25">
      <c r="A137" s="3">
        <v>100136</v>
      </c>
      <c r="B137" s="4">
        <v>46062</v>
      </c>
      <c r="C137" s="3" t="s">
        <v>25</v>
      </c>
      <c r="D137" s="3" t="s">
        <v>26</v>
      </c>
      <c r="E137" s="3" t="s">
        <v>33</v>
      </c>
      <c r="F137" s="3" t="s">
        <v>17</v>
      </c>
      <c r="G137" s="3" t="s">
        <v>28</v>
      </c>
      <c r="H137" s="3" t="s">
        <v>150</v>
      </c>
      <c r="I137" s="3" t="s">
        <v>12</v>
      </c>
      <c r="J137" s="3">
        <v>2</v>
      </c>
      <c r="K137" s="5">
        <v>26000</v>
      </c>
      <c r="L137" s="6">
        <v>0.15</v>
      </c>
      <c r="M137" s="5">
        <v>44200</v>
      </c>
      <c r="N137" s="5">
        <v>15000</v>
      </c>
      <c r="O137" s="3" t="s">
        <v>13</v>
      </c>
      <c r="P137" s="3" t="s">
        <v>44</v>
      </c>
    </row>
    <row r="138" spans="1:16" x14ac:dyDescent="0.25">
      <c r="A138" s="3">
        <v>100137</v>
      </c>
      <c r="B138" s="4">
        <v>46151</v>
      </c>
      <c r="C138" s="3" t="s">
        <v>15</v>
      </c>
      <c r="D138" s="3" t="s">
        <v>16</v>
      </c>
      <c r="E138" s="3" t="s">
        <v>27</v>
      </c>
      <c r="F138" s="3" t="s">
        <v>9</v>
      </c>
      <c r="G138" s="3" t="s">
        <v>42</v>
      </c>
      <c r="H138" s="3" t="s">
        <v>151</v>
      </c>
      <c r="I138" s="3" t="s">
        <v>20</v>
      </c>
      <c r="J138" s="3">
        <v>2</v>
      </c>
      <c r="K138" s="5">
        <v>42000</v>
      </c>
      <c r="L138" s="6">
        <v>0</v>
      </c>
      <c r="M138" s="5">
        <v>84000</v>
      </c>
      <c r="N138" s="5">
        <v>28000</v>
      </c>
      <c r="O138" s="3" t="s">
        <v>13</v>
      </c>
      <c r="P138" s="3" t="s">
        <v>48</v>
      </c>
    </row>
    <row r="139" spans="1:16" x14ac:dyDescent="0.25">
      <c r="A139" s="3">
        <v>100138</v>
      </c>
      <c r="B139" s="4">
        <v>46137</v>
      </c>
      <c r="C139" s="3" t="s">
        <v>40</v>
      </c>
      <c r="D139" s="3" t="s">
        <v>41</v>
      </c>
      <c r="E139" s="3" t="s">
        <v>33</v>
      </c>
      <c r="F139" s="3" t="s">
        <v>17</v>
      </c>
      <c r="G139" s="3" t="s">
        <v>23</v>
      </c>
      <c r="H139" s="3" t="s">
        <v>36</v>
      </c>
      <c r="I139" s="3" t="s">
        <v>20</v>
      </c>
      <c r="J139" s="3">
        <v>4</v>
      </c>
      <c r="K139" s="5">
        <v>32000</v>
      </c>
      <c r="L139" s="6">
        <v>0</v>
      </c>
      <c r="M139" s="5">
        <v>128000</v>
      </c>
      <c r="N139" s="5">
        <v>19000</v>
      </c>
      <c r="O139" s="3" t="s">
        <v>13</v>
      </c>
      <c r="P139" s="3" t="s">
        <v>44</v>
      </c>
    </row>
    <row r="140" spans="1:16" x14ac:dyDescent="0.25">
      <c r="A140" s="3">
        <v>100139</v>
      </c>
      <c r="B140" s="4">
        <v>46056</v>
      </c>
      <c r="C140" s="3" t="s">
        <v>15</v>
      </c>
      <c r="D140" s="3" t="s">
        <v>16</v>
      </c>
      <c r="E140" s="3" t="s">
        <v>33</v>
      </c>
      <c r="F140" s="3" t="s">
        <v>34</v>
      </c>
      <c r="G140" s="3" t="s">
        <v>55</v>
      </c>
      <c r="H140" s="3" t="s">
        <v>152</v>
      </c>
      <c r="I140" s="3" t="s">
        <v>12</v>
      </c>
      <c r="J140" s="3">
        <v>3</v>
      </c>
      <c r="K140" s="5">
        <v>28000</v>
      </c>
      <c r="L140" s="6">
        <v>0.05</v>
      </c>
      <c r="M140" s="5">
        <v>79800</v>
      </c>
      <c r="N140" s="5">
        <v>16000</v>
      </c>
      <c r="O140" s="3" t="s">
        <v>13</v>
      </c>
      <c r="P140" s="3" t="s">
        <v>37</v>
      </c>
    </row>
    <row r="141" spans="1:16" x14ac:dyDescent="0.25">
      <c r="A141" s="3">
        <v>100140</v>
      </c>
      <c r="B141" s="4">
        <v>46100</v>
      </c>
      <c r="C141" s="3" t="s">
        <v>32</v>
      </c>
      <c r="D141" s="3" t="s">
        <v>16</v>
      </c>
      <c r="E141" s="3" t="s">
        <v>33</v>
      </c>
      <c r="F141" s="3" t="s">
        <v>34</v>
      </c>
      <c r="G141" s="3" t="s">
        <v>35</v>
      </c>
      <c r="H141" s="3" t="s">
        <v>133</v>
      </c>
      <c r="I141" s="3" t="s">
        <v>20</v>
      </c>
      <c r="J141" s="3">
        <v>2</v>
      </c>
      <c r="K141" s="5">
        <v>6500</v>
      </c>
      <c r="L141" s="6">
        <v>0.15</v>
      </c>
      <c r="M141" s="5">
        <v>11050</v>
      </c>
      <c r="N141" s="5">
        <v>2200</v>
      </c>
      <c r="O141" s="3" t="s">
        <v>13</v>
      </c>
      <c r="P141" s="3" t="s">
        <v>54</v>
      </c>
    </row>
    <row r="142" spans="1:16" x14ac:dyDescent="0.25">
      <c r="A142" s="3">
        <v>100141</v>
      </c>
      <c r="B142" s="4">
        <v>46043</v>
      </c>
      <c r="C142" s="3" t="s">
        <v>32</v>
      </c>
      <c r="D142" s="3" t="s">
        <v>16</v>
      </c>
      <c r="E142" s="3" t="s">
        <v>33</v>
      </c>
      <c r="F142" s="3" t="s">
        <v>9</v>
      </c>
      <c r="G142" s="3" t="s">
        <v>42</v>
      </c>
      <c r="H142" s="3" t="s">
        <v>88</v>
      </c>
      <c r="I142" s="3" t="s">
        <v>20</v>
      </c>
      <c r="J142" s="3">
        <v>18</v>
      </c>
      <c r="K142" s="5">
        <v>42000</v>
      </c>
      <c r="L142" s="6">
        <v>0</v>
      </c>
      <c r="M142" s="5">
        <v>756000</v>
      </c>
      <c r="N142" s="5">
        <v>28000</v>
      </c>
      <c r="O142" s="3" t="s">
        <v>13</v>
      </c>
      <c r="P142" s="3" t="s">
        <v>54</v>
      </c>
    </row>
    <row r="143" spans="1:16" x14ac:dyDescent="0.25">
      <c r="A143" s="3">
        <v>100142</v>
      </c>
      <c r="B143" s="4">
        <v>46129</v>
      </c>
      <c r="C143" s="3" t="s">
        <v>40</v>
      </c>
      <c r="D143" s="3" t="s">
        <v>41</v>
      </c>
      <c r="E143" s="3" t="s">
        <v>27</v>
      </c>
      <c r="F143" s="3" t="s">
        <v>17</v>
      </c>
      <c r="G143" s="3" t="s">
        <v>23</v>
      </c>
      <c r="H143" s="3" t="s">
        <v>153</v>
      </c>
      <c r="I143" s="3" t="s">
        <v>12</v>
      </c>
      <c r="J143" s="3">
        <v>1</v>
      </c>
      <c r="K143" s="5">
        <v>32000</v>
      </c>
      <c r="L143" s="6">
        <v>0</v>
      </c>
      <c r="M143" s="5">
        <v>32000</v>
      </c>
      <c r="N143" s="5">
        <v>19000</v>
      </c>
      <c r="O143" s="3" t="s">
        <v>13</v>
      </c>
      <c r="P143" s="3" t="s">
        <v>21</v>
      </c>
    </row>
    <row r="144" spans="1:16" x14ac:dyDescent="0.25">
      <c r="A144" s="3">
        <v>100143</v>
      </c>
      <c r="B144" s="4">
        <v>46187</v>
      </c>
      <c r="C144" s="3" t="s">
        <v>32</v>
      </c>
      <c r="D144" s="3" t="s">
        <v>16</v>
      </c>
      <c r="E144" s="3" t="s">
        <v>33</v>
      </c>
      <c r="F144" s="3" t="s">
        <v>17</v>
      </c>
      <c r="G144" s="3" t="s">
        <v>18</v>
      </c>
      <c r="H144" s="3" t="s">
        <v>67</v>
      </c>
      <c r="I144" s="3" t="s">
        <v>20</v>
      </c>
      <c r="J144" s="3">
        <v>2</v>
      </c>
      <c r="K144" s="5">
        <v>165000</v>
      </c>
      <c r="L144" s="6">
        <v>0</v>
      </c>
      <c r="M144" s="5">
        <v>330000</v>
      </c>
      <c r="N144" s="5">
        <v>112000</v>
      </c>
      <c r="O144" s="3" t="s">
        <v>13</v>
      </c>
      <c r="P144" s="3" t="s">
        <v>54</v>
      </c>
    </row>
    <row r="145" spans="1:16" x14ac:dyDescent="0.25">
      <c r="A145" s="3">
        <v>100144</v>
      </c>
      <c r="B145" s="4">
        <v>46132</v>
      </c>
      <c r="C145" s="3" t="s">
        <v>40</v>
      </c>
      <c r="D145" s="3" t="s">
        <v>41</v>
      </c>
      <c r="E145" s="3" t="s">
        <v>8</v>
      </c>
      <c r="F145" s="3" t="s">
        <v>17</v>
      </c>
      <c r="G145" s="3" t="s">
        <v>23</v>
      </c>
      <c r="H145" s="3" t="s">
        <v>154</v>
      </c>
      <c r="I145" s="3" t="s">
        <v>12</v>
      </c>
      <c r="J145" s="3">
        <v>2</v>
      </c>
      <c r="K145" s="5">
        <v>32000</v>
      </c>
      <c r="L145" s="6">
        <v>0.15</v>
      </c>
      <c r="M145" s="5">
        <v>54400</v>
      </c>
      <c r="N145" s="5">
        <v>19000</v>
      </c>
      <c r="O145" s="3" t="s">
        <v>66</v>
      </c>
      <c r="P145" s="3" t="s">
        <v>30</v>
      </c>
    </row>
    <row r="146" spans="1:16" x14ac:dyDescent="0.25">
      <c r="A146" s="3">
        <v>100145</v>
      </c>
      <c r="B146" s="4">
        <v>46141</v>
      </c>
      <c r="C146" s="3" t="s">
        <v>40</v>
      </c>
      <c r="D146" s="3" t="s">
        <v>41</v>
      </c>
      <c r="E146" s="3" t="s">
        <v>33</v>
      </c>
      <c r="F146" s="3" t="s">
        <v>34</v>
      </c>
      <c r="G146" s="3" t="s">
        <v>55</v>
      </c>
      <c r="H146" s="3" t="s">
        <v>109</v>
      </c>
      <c r="I146" s="3" t="s">
        <v>12</v>
      </c>
      <c r="J146" s="3">
        <v>1</v>
      </c>
      <c r="K146" s="5">
        <v>28000</v>
      </c>
      <c r="L146" s="6">
        <v>0</v>
      </c>
      <c r="M146" s="5">
        <v>28000</v>
      </c>
      <c r="N146" s="5">
        <v>16000</v>
      </c>
      <c r="O146" s="3" t="s">
        <v>13</v>
      </c>
      <c r="P146" s="3" t="s">
        <v>14</v>
      </c>
    </row>
    <row r="147" spans="1:16" x14ac:dyDescent="0.25">
      <c r="A147" s="3">
        <v>100146</v>
      </c>
      <c r="B147" s="4">
        <v>46108</v>
      </c>
      <c r="C147" s="3" t="s">
        <v>25</v>
      </c>
      <c r="D147" s="3" t="s">
        <v>26</v>
      </c>
      <c r="E147" s="3" t="s">
        <v>27</v>
      </c>
      <c r="F147" s="3" t="s">
        <v>17</v>
      </c>
      <c r="G147" s="3" t="s">
        <v>23</v>
      </c>
      <c r="H147" s="3" t="s">
        <v>124</v>
      </c>
      <c r="I147" s="3" t="s">
        <v>20</v>
      </c>
      <c r="J147" s="3">
        <v>1</v>
      </c>
      <c r="K147" s="5">
        <v>32000</v>
      </c>
      <c r="L147" s="6">
        <v>0.1</v>
      </c>
      <c r="M147" s="5">
        <v>28800</v>
      </c>
      <c r="N147" s="5">
        <v>19000</v>
      </c>
      <c r="O147" s="3" t="s">
        <v>13</v>
      </c>
      <c r="P147" s="3" t="s">
        <v>54</v>
      </c>
    </row>
    <row r="148" spans="1:16" x14ac:dyDescent="0.25">
      <c r="A148" s="3">
        <v>100147</v>
      </c>
      <c r="B148" s="4">
        <v>46127</v>
      </c>
      <c r="C148" s="3" t="s">
        <v>45</v>
      </c>
      <c r="D148" s="3" t="s">
        <v>46</v>
      </c>
      <c r="E148" s="3" t="s">
        <v>33</v>
      </c>
      <c r="F148" s="3" t="s">
        <v>9</v>
      </c>
      <c r="G148" s="3" t="s">
        <v>42</v>
      </c>
      <c r="H148" s="3" t="s">
        <v>155</v>
      </c>
      <c r="I148" s="3" t="s">
        <v>12</v>
      </c>
      <c r="J148" s="3">
        <v>2</v>
      </c>
      <c r="K148" s="5">
        <v>42000</v>
      </c>
      <c r="L148" s="6">
        <v>0.05</v>
      </c>
      <c r="M148" s="5">
        <v>79800</v>
      </c>
      <c r="N148" s="5">
        <v>28000</v>
      </c>
      <c r="O148" s="3" t="s">
        <v>13</v>
      </c>
      <c r="P148" s="3" t="s">
        <v>14</v>
      </c>
    </row>
    <row r="149" spans="1:16" x14ac:dyDescent="0.25">
      <c r="A149" s="3">
        <v>100148</v>
      </c>
      <c r="B149" s="4">
        <v>46227</v>
      </c>
      <c r="C149" s="3" t="s">
        <v>45</v>
      </c>
      <c r="D149" s="3" t="s">
        <v>46</v>
      </c>
      <c r="E149" s="3" t="s">
        <v>27</v>
      </c>
      <c r="F149" s="3" t="s">
        <v>9</v>
      </c>
      <c r="G149" s="3" t="s">
        <v>52</v>
      </c>
      <c r="H149" s="3" t="s">
        <v>98</v>
      </c>
      <c r="I149" s="3" t="s">
        <v>20</v>
      </c>
      <c r="J149" s="3">
        <v>1</v>
      </c>
      <c r="K149" s="5">
        <v>24000</v>
      </c>
      <c r="L149" s="6">
        <v>0.05</v>
      </c>
      <c r="M149" s="5">
        <v>22800</v>
      </c>
      <c r="N149" s="5">
        <v>15000</v>
      </c>
      <c r="O149" s="3" t="s">
        <v>13</v>
      </c>
      <c r="P149" s="3" t="s">
        <v>14</v>
      </c>
    </row>
    <row r="150" spans="1:16" x14ac:dyDescent="0.25">
      <c r="A150" s="3">
        <v>100149</v>
      </c>
      <c r="B150" s="4">
        <v>46038</v>
      </c>
      <c r="C150" s="3" t="s">
        <v>32</v>
      </c>
      <c r="D150" s="3" t="s">
        <v>16</v>
      </c>
      <c r="E150" s="3" t="s">
        <v>33</v>
      </c>
      <c r="F150" s="3" t="s">
        <v>34</v>
      </c>
      <c r="G150" s="3" t="s">
        <v>50</v>
      </c>
      <c r="H150" s="3" t="s">
        <v>123</v>
      </c>
      <c r="I150" s="3" t="s">
        <v>20</v>
      </c>
      <c r="J150" s="3">
        <v>4</v>
      </c>
      <c r="K150" s="5">
        <v>9000</v>
      </c>
      <c r="L150" s="6">
        <v>0.05</v>
      </c>
      <c r="M150" s="5">
        <v>34200</v>
      </c>
      <c r="N150" s="5">
        <v>3500</v>
      </c>
      <c r="O150" s="3" t="s">
        <v>13</v>
      </c>
      <c r="P150" s="3" t="s">
        <v>30</v>
      </c>
    </row>
    <row r="151" spans="1:16" x14ac:dyDescent="0.25">
      <c r="A151" s="3">
        <v>100150</v>
      </c>
      <c r="B151" s="4">
        <v>46032</v>
      </c>
      <c r="C151" s="3" t="s">
        <v>40</v>
      </c>
      <c r="D151" s="3" t="s">
        <v>41</v>
      </c>
      <c r="E151" s="3" t="s">
        <v>27</v>
      </c>
      <c r="F151" s="3" t="s">
        <v>17</v>
      </c>
      <c r="G151" s="3" t="s">
        <v>28</v>
      </c>
      <c r="H151" s="3" t="s">
        <v>81</v>
      </c>
      <c r="I151" s="3" t="s">
        <v>20</v>
      </c>
      <c r="J151" s="3">
        <v>1</v>
      </c>
      <c r="K151" s="5">
        <v>26000</v>
      </c>
      <c r="L151" s="6">
        <v>0.1</v>
      </c>
      <c r="M151" s="5">
        <v>23400</v>
      </c>
      <c r="N151" s="5">
        <v>15000</v>
      </c>
      <c r="O151" s="3" t="s">
        <v>13</v>
      </c>
      <c r="P151" s="3" t="s">
        <v>30</v>
      </c>
    </row>
    <row r="152" spans="1:16" x14ac:dyDescent="0.25">
      <c r="A152" s="3">
        <v>100151</v>
      </c>
      <c r="B152" s="4">
        <v>46059</v>
      </c>
      <c r="C152" s="3" t="s">
        <v>25</v>
      </c>
      <c r="D152" s="3" t="s">
        <v>26</v>
      </c>
      <c r="E152" s="3" t="s">
        <v>27</v>
      </c>
      <c r="F152" s="3" t="s">
        <v>17</v>
      </c>
      <c r="G152" s="3" t="s">
        <v>18</v>
      </c>
      <c r="H152" s="3" t="s">
        <v>156</v>
      </c>
      <c r="I152" s="3" t="s">
        <v>12</v>
      </c>
      <c r="J152" s="3">
        <v>1</v>
      </c>
      <c r="K152" s="5">
        <v>165000</v>
      </c>
      <c r="L152" s="6">
        <v>0.15</v>
      </c>
      <c r="M152" s="5">
        <v>140250</v>
      </c>
      <c r="N152" s="5">
        <v>112000</v>
      </c>
      <c r="O152" s="3" t="s">
        <v>13</v>
      </c>
      <c r="P152" s="3" t="s">
        <v>14</v>
      </c>
    </row>
    <row r="153" spans="1:16" x14ac:dyDescent="0.25">
      <c r="A153" s="3">
        <v>100152</v>
      </c>
      <c r="B153" s="4">
        <v>46052</v>
      </c>
      <c r="C153" s="3" t="s">
        <v>32</v>
      </c>
      <c r="D153" s="3" t="s">
        <v>16</v>
      </c>
      <c r="E153" s="3" t="s">
        <v>8</v>
      </c>
      <c r="F153" s="3" t="s">
        <v>34</v>
      </c>
      <c r="G153" s="3" t="s">
        <v>35</v>
      </c>
      <c r="H153" s="3" t="s">
        <v>147</v>
      </c>
      <c r="I153" s="3" t="s">
        <v>20</v>
      </c>
      <c r="J153" s="3">
        <v>1</v>
      </c>
      <c r="K153" s="5">
        <v>6500</v>
      </c>
      <c r="L153" s="6">
        <v>0</v>
      </c>
      <c r="M153" s="5">
        <v>6500</v>
      </c>
      <c r="N153" s="5">
        <v>2200</v>
      </c>
      <c r="O153" s="3" t="s">
        <v>13</v>
      </c>
      <c r="P153" s="3" t="s">
        <v>54</v>
      </c>
    </row>
    <row r="154" spans="1:16" x14ac:dyDescent="0.25">
      <c r="A154" s="3">
        <v>100153</v>
      </c>
      <c r="B154" s="4">
        <v>46205</v>
      </c>
      <c r="C154" s="3" t="s">
        <v>6</v>
      </c>
      <c r="D154" s="3" t="s">
        <v>7</v>
      </c>
      <c r="E154" s="3" t="s">
        <v>8</v>
      </c>
      <c r="F154" s="3" t="s">
        <v>17</v>
      </c>
      <c r="G154" s="3" t="s">
        <v>23</v>
      </c>
      <c r="H154" s="3" t="s">
        <v>157</v>
      </c>
      <c r="I154" s="3" t="s">
        <v>20</v>
      </c>
      <c r="J154" s="3">
        <v>1</v>
      </c>
      <c r="K154" s="5">
        <v>32000</v>
      </c>
      <c r="L154" s="6">
        <v>0.25</v>
      </c>
      <c r="M154" s="5">
        <v>24000</v>
      </c>
      <c r="N154" s="5">
        <v>19000</v>
      </c>
      <c r="O154" s="3" t="s">
        <v>13</v>
      </c>
      <c r="P154" s="3" t="s">
        <v>44</v>
      </c>
    </row>
    <row r="155" spans="1:16" x14ac:dyDescent="0.25">
      <c r="A155" s="3">
        <v>100154</v>
      </c>
      <c r="B155" s="4">
        <v>46068</v>
      </c>
      <c r="C155" s="3" t="s">
        <v>40</v>
      </c>
      <c r="D155" s="3" t="s">
        <v>41</v>
      </c>
      <c r="E155" s="3" t="s">
        <v>33</v>
      </c>
      <c r="F155" s="3" t="s">
        <v>17</v>
      </c>
      <c r="G155" s="3" t="s">
        <v>23</v>
      </c>
      <c r="H155" s="3" t="s">
        <v>108</v>
      </c>
      <c r="I155" s="3" t="s">
        <v>12</v>
      </c>
      <c r="J155" s="3">
        <v>1</v>
      </c>
      <c r="K155" s="5">
        <v>32000</v>
      </c>
      <c r="L155" s="6">
        <v>0</v>
      </c>
      <c r="M155" s="5">
        <v>32000</v>
      </c>
      <c r="N155" s="3"/>
      <c r="O155" s="3" t="s">
        <v>13</v>
      </c>
      <c r="P155" s="3" t="s">
        <v>44</v>
      </c>
    </row>
    <row r="156" spans="1:16" x14ac:dyDescent="0.25">
      <c r="A156" s="3">
        <v>100155</v>
      </c>
      <c r="B156" s="4">
        <v>46198</v>
      </c>
      <c r="C156" s="3" t="s">
        <v>32</v>
      </c>
      <c r="D156" s="3" t="s">
        <v>16</v>
      </c>
      <c r="E156" s="3" t="s">
        <v>33</v>
      </c>
      <c r="F156" s="3" t="s">
        <v>34</v>
      </c>
      <c r="G156" s="3" t="s">
        <v>55</v>
      </c>
      <c r="H156" s="3" t="s">
        <v>92</v>
      </c>
      <c r="I156" s="3" t="s">
        <v>12</v>
      </c>
      <c r="J156" s="3">
        <v>5</v>
      </c>
      <c r="K156" s="5">
        <v>28000</v>
      </c>
      <c r="L156" s="6">
        <v>0.15</v>
      </c>
      <c r="M156" s="5">
        <v>119000</v>
      </c>
      <c r="N156" s="5">
        <v>16000</v>
      </c>
      <c r="O156" s="3" t="s">
        <v>13</v>
      </c>
      <c r="P156" s="3" t="s">
        <v>14</v>
      </c>
    </row>
    <row r="157" spans="1:16" x14ac:dyDescent="0.25">
      <c r="A157" s="3">
        <v>100156</v>
      </c>
      <c r="B157" s="4">
        <v>46215</v>
      </c>
      <c r="C157" s="3" t="s">
        <v>15</v>
      </c>
      <c r="D157" s="3" t="s">
        <v>16</v>
      </c>
      <c r="E157" s="3" t="s">
        <v>33</v>
      </c>
      <c r="F157" s="3" t="s">
        <v>17</v>
      </c>
      <c r="G157" s="3" t="s">
        <v>23</v>
      </c>
      <c r="H157" s="3" t="s">
        <v>64</v>
      </c>
      <c r="I157" s="3" t="s">
        <v>12</v>
      </c>
      <c r="J157" s="3">
        <v>1</v>
      </c>
      <c r="K157" s="5">
        <v>32000</v>
      </c>
      <c r="L157" s="6">
        <v>0</v>
      </c>
      <c r="M157" s="5">
        <v>32000</v>
      </c>
      <c r="N157" s="5">
        <v>19000</v>
      </c>
      <c r="O157" s="3" t="s">
        <v>13</v>
      </c>
      <c r="P157" s="3" t="s">
        <v>21</v>
      </c>
    </row>
    <row r="158" spans="1:16" x14ac:dyDescent="0.25">
      <c r="A158" s="3">
        <v>100157</v>
      </c>
      <c r="B158" s="4">
        <v>46108</v>
      </c>
      <c r="C158" s="3" t="s">
        <v>40</v>
      </c>
      <c r="D158" s="3" t="s">
        <v>41</v>
      </c>
      <c r="E158" s="3" t="s">
        <v>27</v>
      </c>
      <c r="F158" s="3" t="s">
        <v>17</v>
      </c>
      <c r="G158" s="3" t="s">
        <v>23</v>
      </c>
      <c r="H158" s="3" t="s">
        <v>158</v>
      </c>
      <c r="I158" s="3" t="s">
        <v>12</v>
      </c>
      <c r="J158" s="3">
        <v>1</v>
      </c>
      <c r="K158" s="5">
        <v>32000</v>
      </c>
      <c r="L158" s="6">
        <v>0.1</v>
      </c>
      <c r="M158" s="5">
        <v>28800</v>
      </c>
      <c r="N158" s="5">
        <v>19000</v>
      </c>
      <c r="O158" s="3" t="s">
        <v>13</v>
      </c>
      <c r="P158" s="3" t="s">
        <v>30</v>
      </c>
    </row>
    <row r="159" spans="1:16" x14ac:dyDescent="0.25">
      <c r="A159" s="3">
        <v>100158</v>
      </c>
      <c r="B159" s="4">
        <v>46179</v>
      </c>
      <c r="C159" s="3" t="s">
        <v>45</v>
      </c>
      <c r="D159" s="3" t="s">
        <v>46</v>
      </c>
      <c r="E159" s="3" t="s">
        <v>27</v>
      </c>
      <c r="F159" s="3" t="s">
        <v>34</v>
      </c>
      <c r="G159" s="3" t="s">
        <v>50</v>
      </c>
      <c r="H159" s="3" t="s">
        <v>159</v>
      </c>
      <c r="I159" s="3" t="s">
        <v>12</v>
      </c>
      <c r="J159" s="3">
        <v>2</v>
      </c>
      <c r="K159" s="5">
        <v>9000</v>
      </c>
      <c r="L159" s="6">
        <v>0.05</v>
      </c>
      <c r="M159" s="5">
        <v>17100</v>
      </c>
      <c r="N159" s="3"/>
      <c r="O159" s="3" t="s">
        <v>13</v>
      </c>
      <c r="P159" s="3" t="s">
        <v>21</v>
      </c>
    </row>
    <row r="160" spans="1:16" x14ac:dyDescent="0.25">
      <c r="A160" s="3">
        <v>100159</v>
      </c>
      <c r="B160" s="4">
        <v>46204</v>
      </c>
      <c r="C160" s="3" t="s">
        <v>15</v>
      </c>
      <c r="D160" s="3" t="s">
        <v>16</v>
      </c>
      <c r="E160" s="3" t="s">
        <v>33</v>
      </c>
      <c r="F160" s="3" t="s">
        <v>9</v>
      </c>
      <c r="G160" s="3" t="s">
        <v>52</v>
      </c>
      <c r="H160" s="3" t="s">
        <v>63</v>
      </c>
      <c r="I160" s="3" t="s">
        <v>12</v>
      </c>
      <c r="J160" s="3">
        <v>1</v>
      </c>
      <c r="K160" s="5">
        <v>24000</v>
      </c>
      <c r="L160" s="6">
        <v>0</v>
      </c>
      <c r="M160" s="5">
        <v>24000</v>
      </c>
      <c r="N160" s="5">
        <v>15000</v>
      </c>
      <c r="O160" s="3" t="s">
        <v>13</v>
      </c>
      <c r="P160" s="3" t="s">
        <v>48</v>
      </c>
    </row>
    <row r="161" spans="1:16" x14ac:dyDescent="0.25">
      <c r="A161" s="3">
        <v>100160</v>
      </c>
      <c r="B161" s="4">
        <v>46076</v>
      </c>
      <c r="C161" s="3" t="s">
        <v>32</v>
      </c>
      <c r="D161" s="3" t="s">
        <v>16</v>
      </c>
      <c r="E161" s="3" t="s">
        <v>27</v>
      </c>
      <c r="F161" s="3" t="s">
        <v>9</v>
      </c>
      <c r="G161" s="3" t="s">
        <v>52</v>
      </c>
      <c r="H161" s="3" t="s">
        <v>160</v>
      </c>
      <c r="I161" s="3" t="s">
        <v>20</v>
      </c>
      <c r="J161" s="3">
        <v>1</v>
      </c>
      <c r="K161" s="5">
        <v>24000</v>
      </c>
      <c r="L161" s="6">
        <v>0</v>
      </c>
      <c r="M161" s="5">
        <v>24000</v>
      </c>
      <c r="N161" s="5">
        <v>15000</v>
      </c>
      <c r="O161" s="3" t="s">
        <v>13</v>
      </c>
      <c r="P161" s="3" t="s">
        <v>30</v>
      </c>
    </row>
    <row r="162" spans="1:16" x14ac:dyDescent="0.25">
      <c r="A162" s="3">
        <v>100161</v>
      </c>
      <c r="B162" s="4">
        <v>46230</v>
      </c>
      <c r="C162" s="3" t="s">
        <v>40</v>
      </c>
      <c r="D162" s="3" t="s">
        <v>41</v>
      </c>
      <c r="E162" s="3" t="s">
        <v>8</v>
      </c>
      <c r="F162" s="3" t="s">
        <v>9</v>
      </c>
      <c r="G162" s="3" t="s">
        <v>10</v>
      </c>
      <c r="H162" s="3" t="s">
        <v>161</v>
      </c>
      <c r="I162" s="3" t="s">
        <v>20</v>
      </c>
      <c r="J162" s="3">
        <v>3</v>
      </c>
      <c r="K162" s="5">
        <v>58000</v>
      </c>
      <c r="L162" s="6">
        <v>0</v>
      </c>
      <c r="M162" s="5">
        <v>174000</v>
      </c>
      <c r="N162" s="5">
        <v>39000</v>
      </c>
      <c r="O162" s="3" t="s">
        <v>13</v>
      </c>
      <c r="P162" s="3" t="s">
        <v>48</v>
      </c>
    </row>
    <row r="163" spans="1:16" x14ac:dyDescent="0.25">
      <c r="A163" s="3">
        <v>100162</v>
      </c>
      <c r="B163" s="4">
        <v>46129</v>
      </c>
      <c r="C163" s="3" t="s">
        <v>40</v>
      </c>
      <c r="D163" s="3" t="s">
        <v>41</v>
      </c>
      <c r="E163" s="3" t="s">
        <v>8</v>
      </c>
      <c r="F163" s="3" t="s">
        <v>34</v>
      </c>
      <c r="G163" s="3" t="s">
        <v>50</v>
      </c>
      <c r="H163" s="3" t="s">
        <v>162</v>
      </c>
      <c r="I163" s="3" t="s">
        <v>12</v>
      </c>
      <c r="J163" s="3">
        <v>1</v>
      </c>
      <c r="K163" s="5">
        <v>9000</v>
      </c>
      <c r="L163" s="6">
        <v>0</v>
      </c>
      <c r="M163" s="5">
        <v>9000</v>
      </c>
      <c r="N163" s="3"/>
      <c r="O163" s="3" t="s">
        <v>13</v>
      </c>
      <c r="P163" s="3" t="s">
        <v>44</v>
      </c>
    </row>
    <row r="164" spans="1:16" x14ac:dyDescent="0.25">
      <c r="A164" s="3">
        <v>100163</v>
      </c>
      <c r="B164" s="4">
        <v>46199</v>
      </c>
      <c r="C164" s="3" t="s">
        <v>25</v>
      </c>
      <c r="D164" s="3" t="s">
        <v>26</v>
      </c>
      <c r="E164" s="3" t="s">
        <v>27</v>
      </c>
      <c r="F164" s="3" t="s">
        <v>17</v>
      </c>
      <c r="G164" s="3" t="s">
        <v>28</v>
      </c>
      <c r="H164" s="3" t="s">
        <v>163</v>
      </c>
      <c r="I164" s="3" t="s">
        <v>12</v>
      </c>
      <c r="J164" s="3">
        <v>5</v>
      </c>
      <c r="K164" s="5">
        <v>26000</v>
      </c>
      <c r="L164" s="6">
        <v>0.15</v>
      </c>
      <c r="M164" s="5">
        <v>88400</v>
      </c>
      <c r="N164" s="5">
        <v>15000</v>
      </c>
      <c r="O164" s="3" t="s">
        <v>13</v>
      </c>
      <c r="P164" s="3" t="s">
        <v>37</v>
      </c>
    </row>
    <row r="165" spans="1:16" x14ac:dyDescent="0.25">
      <c r="A165" s="3">
        <v>100164</v>
      </c>
      <c r="B165" s="4">
        <v>46106</v>
      </c>
      <c r="C165" s="3" t="s">
        <v>25</v>
      </c>
      <c r="D165" s="3" t="s">
        <v>26</v>
      </c>
      <c r="E165" s="3" t="s">
        <v>27</v>
      </c>
      <c r="F165" s="3" t="s">
        <v>17</v>
      </c>
      <c r="G165" s="3" t="s">
        <v>18</v>
      </c>
      <c r="H165" s="3" t="s">
        <v>164</v>
      </c>
      <c r="I165" s="3" t="s">
        <v>20</v>
      </c>
      <c r="J165" s="3">
        <v>5</v>
      </c>
      <c r="K165" s="5">
        <v>165000</v>
      </c>
      <c r="L165" s="6">
        <v>0.05</v>
      </c>
      <c r="M165" s="5">
        <v>783750</v>
      </c>
      <c r="N165" s="5">
        <v>112000</v>
      </c>
      <c r="O165" s="3" t="s">
        <v>13</v>
      </c>
      <c r="P165" s="3" t="s">
        <v>14</v>
      </c>
    </row>
    <row r="166" spans="1:16" x14ac:dyDescent="0.25">
      <c r="A166" s="3">
        <v>100165</v>
      </c>
      <c r="B166" s="4">
        <v>46159</v>
      </c>
      <c r="C166" s="3" t="s">
        <v>15</v>
      </c>
      <c r="D166" s="3" t="s">
        <v>16</v>
      </c>
      <c r="E166" s="3" t="s">
        <v>27</v>
      </c>
      <c r="F166" s="3" t="s">
        <v>17</v>
      </c>
      <c r="G166" s="3" t="s">
        <v>18</v>
      </c>
      <c r="H166" s="3" t="s">
        <v>79</v>
      </c>
      <c r="I166" s="3" t="s">
        <v>20</v>
      </c>
      <c r="J166" s="3">
        <v>1</v>
      </c>
      <c r="K166" s="5">
        <v>165000</v>
      </c>
      <c r="L166" s="6">
        <v>0</v>
      </c>
      <c r="M166" s="5">
        <v>165000</v>
      </c>
      <c r="N166" s="5">
        <v>112000</v>
      </c>
      <c r="O166" s="3" t="s">
        <v>13</v>
      </c>
      <c r="P166" s="3" t="s">
        <v>44</v>
      </c>
    </row>
    <row r="167" spans="1:16" x14ac:dyDescent="0.25">
      <c r="A167" s="3">
        <v>100166</v>
      </c>
      <c r="B167" s="4">
        <v>46144</v>
      </c>
      <c r="C167" s="3" t="s">
        <v>15</v>
      </c>
      <c r="D167" s="3" t="s">
        <v>16</v>
      </c>
      <c r="E167" s="3" t="s">
        <v>27</v>
      </c>
      <c r="F167" s="3" t="s">
        <v>17</v>
      </c>
      <c r="G167" s="3" t="s">
        <v>23</v>
      </c>
      <c r="H167" s="3" t="s">
        <v>165</v>
      </c>
      <c r="I167" s="3" t="s">
        <v>20</v>
      </c>
      <c r="J167" s="3">
        <v>3</v>
      </c>
      <c r="K167" s="5">
        <v>32000</v>
      </c>
      <c r="L167" s="6">
        <v>0.05</v>
      </c>
      <c r="M167" s="5">
        <v>91200</v>
      </c>
      <c r="N167" s="5">
        <v>19000</v>
      </c>
      <c r="O167" s="3" t="s">
        <v>13</v>
      </c>
      <c r="P167" s="3" t="s">
        <v>74</v>
      </c>
    </row>
    <row r="168" spans="1:16" x14ac:dyDescent="0.25">
      <c r="A168" s="3">
        <v>100167</v>
      </c>
      <c r="B168" s="4">
        <v>46252</v>
      </c>
      <c r="C168" s="3" t="s">
        <v>32</v>
      </c>
      <c r="D168" s="3" t="s">
        <v>16</v>
      </c>
      <c r="E168" s="3" t="s">
        <v>8</v>
      </c>
      <c r="F168" s="3" t="s">
        <v>17</v>
      </c>
      <c r="G168" s="3" t="s">
        <v>23</v>
      </c>
      <c r="H168" s="3" t="s">
        <v>166</v>
      </c>
      <c r="I168" s="3" t="s">
        <v>12</v>
      </c>
      <c r="J168" s="3">
        <v>1</v>
      </c>
      <c r="K168" s="5">
        <v>32000</v>
      </c>
      <c r="L168" s="6">
        <v>0.1</v>
      </c>
      <c r="M168" s="5">
        <v>28800</v>
      </c>
      <c r="N168" s="5">
        <v>19000</v>
      </c>
      <c r="O168" s="3" t="s">
        <v>13</v>
      </c>
      <c r="P168" s="3" t="s">
        <v>74</v>
      </c>
    </row>
    <row r="169" spans="1:16" x14ac:dyDescent="0.25">
      <c r="A169" s="3">
        <v>100168</v>
      </c>
      <c r="B169" s="4">
        <v>46251</v>
      </c>
      <c r="C169" s="3" t="s">
        <v>25</v>
      </c>
      <c r="D169" s="3" t="s">
        <v>26</v>
      </c>
      <c r="E169" s="3" t="s">
        <v>8</v>
      </c>
      <c r="F169" s="3" t="s">
        <v>17</v>
      </c>
      <c r="G169" s="3" t="s">
        <v>23</v>
      </c>
      <c r="H169" s="3" t="s">
        <v>59</v>
      </c>
      <c r="I169" s="3" t="s">
        <v>12</v>
      </c>
      <c r="J169" s="3">
        <v>22</v>
      </c>
      <c r="K169" s="5">
        <v>32000</v>
      </c>
      <c r="L169" s="6">
        <v>0.05</v>
      </c>
      <c r="M169" s="5">
        <v>668800</v>
      </c>
      <c r="N169" s="5">
        <v>19000</v>
      </c>
      <c r="O169" s="3" t="s">
        <v>66</v>
      </c>
      <c r="P169" s="3" t="s">
        <v>14</v>
      </c>
    </row>
    <row r="170" spans="1:16" x14ac:dyDescent="0.25">
      <c r="A170" s="3">
        <v>100169</v>
      </c>
      <c r="B170" s="4">
        <v>46055</v>
      </c>
      <c r="C170" s="3" t="s">
        <v>22</v>
      </c>
      <c r="D170" s="3" t="s">
        <v>7</v>
      </c>
      <c r="E170" s="3" t="s">
        <v>8</v>
      </c>
      <c r="F170" s="3" t="s">
        <v>17</v>
      </c>
      <c r="G170" s="3" t="s">
        <v>28</v>
      </c>
      <c r="H170" s="3" t="s">
        <v>167</v>
      </c>
      <c r="I170" s="3" t="s">
        <v>20</v>
      </c>
      <c r="J170" s="3">
        <v>3</v>
      </c>
      <c r="K170" s="5">
        <v>26000</v>
      </c>
      <c r="L170" s="6">
        <v>0.15</v>
      </c>
      <c r="M170" s="5">
        <v>66300</v>
      </c>
      <c r="N170" s="5">
        <v>15000</v>
      </c>
      <c r="O170" s="3" t="s">
        <v>66</v>
      </c>
      <c r="P170" s="3" t="s">
        <v>48</v>
      </c>
    </row>
    <row r="171" spans="1:16" x14ac:dyDescent="0.25">
      <c r="A171" s="3">
        <v>100170</v>
      </c>
      <c r="B171" s="4">
        <v>46158</v>
      </c>
      <c r="C171" s="3" t="s">
        <v>32</v>
      </c>
      <c r="D171" s="3" t="s">
        <v>16</v>
      </c>
      <c r="E171" s="3" t="s">
        <v>33</v>
      </c>
      <c r="F171" s="3" t="s">
        <v>17</v>
      </c>
      <c r="G171" s="3" t="s">
        <v>28</v>
      </c>
      <c r="H171" s="3" t="s">
        <v>64</v>
      </c>
      <c r="I171" s="3" t="s">
        <v>12</v>
      </c>
      <c r="J171" s="3">
        <v>1</v>
      </c>
      <c r="K171" s="5">
        <v>26000</v>
      </c>
      <c r="L171" s="6">
        <v>0.05</v>
      </c>
      <c r="M171" s="5">
        <v>24700</v>
      </c>
      <c r="N171" s="5">
        <v>15000</v>
      </c>
      <c r="O171" s="3" t="s">
        <v>13</v>
      </c>
      <c r="P171" s="3" t="s">
        <v>54</v>
      </c>
    </row>
    <row r="172" spans="1:16" x14ac:dyDescent="0.25">
      <c r="A172" s="3">
        <v>100171</v>
      </c>
      <c r="B172" s="4">
        <v>46227</v>
      </c>
      <c r="C172" s="3" t="s">
        <v>25</v>
      </c>
      <c r="D172" s="3" t="s">
        <v>26</v>
      </c>
      <c r="E172" s="3" t="s">
        <v>27</v>
      </c>
      <c r="F172" s="3" t="s">
        <v>9</v>
      </c>
      <c r="G172" s="3" t="s">
        <v>52</v>
      </c>
      <c r="H172" s="3" t="s">
        <v>168</v>
      </c>
      <c r="I172" s="3" t="s">
        <v>20</v>
      </c>
      <c r="J172" s="3">
        <v>3</v>
      </c>
      <c r="K172" s="5">
        <v>24000</v>
      </c>
      <c r="L172" s="6">
        <v>0.15</v>
      </c>
      <c r="M172" s="5">
        <v>61200</v>
      </c>
      <c r="N172" s="5">
        <v>15000</v>
      </c>
      <c r="O172" s="3" t="s">
        <v>13</v>
      </c>
      <c r="P172" s="3" t="s">
        <v>30</v>
      </c>
    </row>
    <row r="173" spans="1:16" x14ac:dyDescent="0.25">
      <c r="A173" s="3">
        <v>100172</v>
      </c>
      <c r="B173" s="4">
        <v>46110</v>
      </c>
      <c r="C173" s="3" t="s">
        <v>40</v>
      </c>
      <c r="D173" s="3" t="s">
        <v>41</v>
      </c>
      <c r="E173" s="3" t="s">
        <v>33</v>
      </c>
      <c r="F173" s="3" t="s">
        <v>34</v>
      </c>
      <c r="G173" s="3" t="s">
        <v>55</v>
      </c>
      <c r="H173" s="3" t="s">
        <v>155</v>
      </c>
      <c r="I173" s="3" t="s">
        <v>12</v>
      </c>
      <c r="J173" s="3">
        <v>2</v>
      </c>
      <c r="K173" s="5">
        <v>28000</v>
      </c>
      <c r="L173" s="6">
        <v>0.15</v>
      </c>
      <c r="M173" s="5">
        <v>52360</v>
      </c>
      <c r="N173" s="5">
        <v>16000</v>
      </c>
      <c r="O173" s="3" t="s">
        <v>13</v>
      </c>
      <c r="P173" s="3" t="s">
        <v>48</v>
      </c>
    </row>
    <row r="174" spans="1:16" x14ac:dyDescent="0.25">
      <c r="A174" s="3">
        <v>100173</v>
      </c>
      <c r="B174" s="4">
        <v>46052</v>
      </c>
      <c r="C174" s="3" t="s">
        <v>25</v>
      </c>
      <c r="D174" s="3" t="s">
        <v>26</v>
      </c>
      <c r="E174" s="3" t="s">
        <v>27</v>
      </c>
      <c r="F174" s="3" t="s">
        <v>34</v>
      </c>
      <c r="G174" s="3" t="s">
        <v>35</v>
      </c>
      <c r="H174" s="3" t="s">
        <v>169</v>
      </c>
      <c r="I174" s="3" t="s">
        <v>20</v>
      </c>
      <c r="J174" s="3">
        <v>1</v>
      </c>
      <c r="K174" s="5">
        <v>6500</v>
      </c>
      <c r="L174" s="6">
        <v>0.1</v>
      </c>
      <c r="M174" s="5">
        <v>5850</v>
      </c>
      <c r="N174" s="5">
        <v>2200</v>
      </c>
      <c r="O174" s="3" t="s">
        <v>66</v>
      </c>
      <c r="P174" s="3" t="s">
        <v>14</v>
      </c>
    </row>
    <row r="175" spans="1:16" x14ac:dyDescent="0.25">
      <c r="A175" s="3">
        <v>100174</v>
      </c>
      <c r="B175" s="4">
        <v>46237</v>
      </c>
      <c r="C175" s="3" t="s">
        <v>15</v>
      </c>
      <c r="D175" s="3" t="s">
        <v>16</v>
      </c>
      <c r="E175" s="3" t="s">
        <v>33</v>
      </c>
      <c r="F175" s="3" t="s">
        <v>34</v>
      </c>
      <c r="G175" s="3" t="s">
        <v>35</v>
      </c>
      <c r="H175" s="3" t="s">
        <v>161</v>
      </c>
      <c r="I175" s="3" t="s">
        <v>20</v>
      </c>
      <c r="J175" s="3">
        <v>2</v>
      </c>
      <c r="K175" s="5">
        <v>6500</v>
      </c>
      <c r="L175" s="6">
        <v>0.15</v>
      </c>
      <c r="M175" s="5">
        <v>11050</v>
      </c>
      <c r="N175" s="5">
        <v>2200</v>
      </c>
      <c r="O175" s="3" t="s">
        <v>13</v>
      </c>
      <c r="P175" s="3" t="s">
        <v>74</v>
      </c>
    </row>
    <row r="176" spans="1:16" x14ac:dyDescent="0.25">
      <c r="A176" s="3">
        <v>100175</v>
      </c>
      <c r="B176" s="4">
        <v>46039</v>
      </c>
      <c r="C176" s="3" t="s">
        <v>6</v>
      </c>
      <c r="D176" s="3" t="s">
        <v>7</v>
      </c>
      <c r="E176" s="3" t="s">
        <v>33</v>
      </c>
      <c r="F176" s="3" t="s">
        <v>9</v>
      </c>
      <c r="G176" s="3" t="s">
        <v>52</v>
      </c>
      <c r="H176" s="3" t="s">
        <v>169</v>
      </c>
      <c r="I176" s="3" t="s">
        <v>20</v>
      </c>
      <c r="J176" s="3">
        <v>5</v>
      </c>
      <c r="K176" s="5">
        <v>24000</v>
      </c>
      <c r="L176" s="6">
        <v>0.25</v>
      </c>
      <c r="M176" s="5">
        <v>90000</v>
      </c>
      <c r="N176" s="5">
        <v>15000</v>
      </c>
      <c r="O176" s="3" t="s">
        <v>13</v>
      </c>
      <c r="P176" s="3" t="s">
        <v>48</v>
      </c>
    </row>
    <row r="177" spans="1:16" x14ac:dyDescent="0.25">
      <c r="A177" s="3">
        <v>100176</v>
      </c>
      <c r="B177" s="4">
        <v>46255</v>
      </c>
      <c r="C177" s="3" t="s">
        <v>40</v>
      </c>
      <c r="D177" s="3" t="s">
        <v>41</v>
      </c>
      <c r="E177" s="3" t="s">
        <v>27</v>
      </c>
      <c r="F177" s="3" t="s">
        <v>34</v>
      </c>
      <c r="G177" s="3" t="s">
        <v>50</v>
      </c>
      <c r="H177" s="3" t="s">
        <v>59</v>
      </c>
      <c r="I177" s="3" t="s">
        <v>12</v>
      </c>
      <c r="J177" s="3">
        <v>2</v>
      </c>
      <c r="K177" s="5">
        <v>9000</v>
      </c>
      <c r="L177" s="6">
        <v>0.1</v>
      </c>
      <c r="M177" s="5">
        <v>16200</v>
      </c>
      <c r="N177" s="5">
        <v>3500</v>
      </c>
      <c r="O177" s="3" t="s">
        <v>13</v>
      </c>
      <c r="P177" s="3" t="s">
        <v>54</v>
      </c>
    </row>
    <row r="178" spans="1:16" x14ac:dyDescent="0.25">
      <c r="A178" s="3">
        <v>100177</v>
      </c>
      <c r="B178" s="4">
        <v>46180</v>
      </c>
      <c r="C178" s="3" t="s">
        <v>6</v>
      </c>
      <c r="D178" s="3" t="s">
        <v>7</v>
      </c>
      <c r="E178" s="3" t="s">
        <v>8</v>
      </c>
      <c r="F178" s="3" t="s">
        <v>9</v>
      </c>
      <c r="G178" s="3" t="s">
        <v>10</v>
      </c>
      <c r="H178" s="3" t="s">
        <v>58</v>
      </c>
      <c r="I178" s="3" t="s">
        <v>12</v>
      </c>
      <c r="J178" s="3">
        <v>1</v>
      </c>
      <c r="K178" s="5">
        <v>58000</v>
      </c>
      <c r="L178" s="6">
        <v>0.2</v>
      </c>
      <c r="M178" s="5">
        <v>46400</v>
      </c>
      <c r="N178" s="5">
        <v>39000</v>
      </c>
      <c r="O178" s="3" t="s">
        <v>13</v>
      </c>
      <c r="P178" s="3" t="s">
        <v>21</v>
      </c>
    </row>
    <row r="179" spans="1:16" x14ac:dyDescent="0.25">
      <c r="A179" s="3">
        <v>100178</v>
      </c>
      <c r="B179" s="4">
        <v>46095</v>
      </c>
      <c r="C179" s="3" t="s">
        <v>25</v>
      </c>
      <c r="D179" s="3" t="s">
        <v>26</v>
      </c>
      <c r="E179" s="3" t="s">
        <v>33</v>
      </c>
      <c r="F179" s="3" t="s">
        <v>34</v>
      </c>
      <c r="G179" s="3" t="s">
        <v>35</v>
      </c>
      <c r="H179" s="3" t="s">
        <v>24</v>
      </c>
      <c r="I179" s="3" t="s">
        <v>20</v>
      </c>
      <c r="J179" s="3">
        <v>2</v>
      </c>
      <c r="K179" s="5">
        <v>6500</v>
      </c>
      <c r="L179" s="6">
        <v>0.15</v>
      </c>
      <c r="M179" s="5">
        <v>11050</v>
      </c>
      <c r="N179" s="3"/>
      <c r="O179" s="3" t="s">
        <v>13</v>
      </c>
      <c r="P179" s="3" t="s">
        <v>30</v>
      </c>
    </row>
    <row r="180" spans="1:16" x14ac:dyDescent="0.25">
      <c r="A180" s="3">
        <v>100179</v>
      </c>
      <c r="B180" s="4">
        <v>46085</v>
      </c>
      <c r="C180" s="3" t="s">
        <v>25</v>
      </c>
      <c r="D180" s="3" t="s">
        <v>26</v>
      </c>
      <c r="E180" s="3" t="s">
        <v>33</v>
      </c>
      <c r="F180" s="3" t="s">
        <v>17</v>
      </c>
      <c r="G180" s="3" t="s">
        <v>23</v>
      </c>
      <c r="H180" s="3" t="s">
        <v>170</v>
      </c>
      <c r="I180" s="3" t="s">
        <v>20</v>
      </c>
      <c r="J180" s="3">
        <v>5</v>
      </c>
      <c r="K180" s="5">
        <v>32000</v>
      </c>
      <c r="L180" s="6">
        <v>0.15</v>
      </c>
      <c r="M180" s="5">
        <v>136000</v>
      </c>
      <c r="N180" s="5">
        <v>19000</v>
      </c>
      <c r="O180" s="3" t="s">
        <v>13</v>
      </c>
      <c r="P180" s="3" t="s">
        <v>30</v>
      </c>
    </row>
    <row r="181" spans="1:16" x14ac:dyDescent="0.25">
      <c r="A181" s="3">
        <v>100180</v>
      </c>
      <c r="B181" s="4">
        <v>46167</v>
      </c>
      <c r="C181" s="3" t="s">
        <v>32</v>
      </c>
      <c r="D181" s="3" t="s">
        <v>16</v>
      </c>
      <c r="E181" s="3" t="s">
        <v>33</v>
      </c>
      <c r="F181" s="3" t="s">
        <v>34</v>
      </c>
      <c r="G181" s="3" t="s">
        <v>55</v>
      </c>
      <c r="H181" s="3" t="s">
        <v>36</v>
      </c>
      <c r="I181" s="3" t="s">
        <v>12</v>
      </c>
      <c r="J181" s="3">
        <v>3</v>
      </c>
      <c r="K181" s="5">
        <v>28000</v>
      </c>
      <c r="L181" s="6">
        <v>0.05</v>
      </c>
      <c r="M181" s="5">
        <v>79800</v>
      </c>
      <c r="N181" s="5">
        <v>16000</v>
      </c>
      <c r="O181" s="3" t="s">
        <v>13</v>
      </c>
      <c r="P181" s="3" t="s">
        <v>14</v>
      </c>
    </row>
    <row r="182" spans="1:16" x14ac:dyDescent="0.25">
      <c r="A182" s="3">
        <v>100181</v>
      </c>
      <c r="B182" s="4">
        <v>46052</v>
      </c>
      <c r="C182" s="3" t="s">
        <v>45</v>
      </c>
      <c r="D182" s="3" t="s">
        <v>46</v>
      </c>
      <c r="E182" s="3" t="s">
        <v>27</v>
      </c>
      <c r="F182" s="3" t="s">
        <v>9</v>
      </c>
      <c r="G182" s="3" t="s">
        <v>52</v>
      </c>
      <c r="H182" s="3" t="s">
        <v>171</v>
      </c>
      <c r="I182" s="3" t="s">
        <v>20</v>
      </c>
      <c r="J182" s="3">
        <v>1</v>
      </c>
      <c r="K182" s="5">
        <v>24000</v>
      </c>
      <c r="L182" s="6">
        <v>0.1</v>
      </c>
      <c r="M182" s="5">
        <v>21600</v>
      </c>
      <c r="N182" s="5">
        <v>15000</v>
      </c>
      <c r="O182" s="3" t="s">
        <v>66</v>
      </c>
      <c r="P182" s="3" t="s">
        <v>14</v>
      </c>
    </row>
    <row r="183" spans="1:16" x14ac:dyDescent="0.25">
      <c r="A183" s="3">
        <v>100182</v>
      </c>
      <c r="B183" s="4">
        <v>46094</v>
      </c>
      <c r="C183" s="3" t="s">
        <v>22</v>
      </c>
      <c r="D183" s="3" t="s">
        <v>7</v>
      </c>
      <c r="E183" s="3" t="s">
        <v>27</v>
      </c>
      <c r="F183" s="3" t="s">
        <v>34</v>
      </c>
      <c r="G183" s="3" t="s">
        <v>55</v>
      </c>
      <c r="H183" s="3" t="s">
        <v>120</v>
      </c>
      <c r="I183" s="3" t="s">
        <v>20</v>
      </c>
      <c r="J183" s="3">
        <v>2</v>
      </c>
      <c r="K183" s="5">
        <v>28000</v>
      </c>
      <c r="L183" s="6">
        <v>0.2</v>
      </c>
      <c r="M183" s="5">
        <v>44800</v>
      </c>
      <c r="N183" s="5">
        <v>16000</v>
      </c>
      <c r="O183" s="3" t="s">
        <v>66</v>
      </c>
      <c r="P183" s="3" t="s">
        <v>21</v>
      </c>
    </row>
    <row r="184" spans="1:16" x14ac:dyDescent="0.25">
      <c r="A184" s="3">
        <v>100183</v>
      </c>
      <c r="B184" s="4">
        <v>46219</v>
      </c>
      <c r="C184" s="3" t="s">
        <v>40</v>
      </c>
      <c r="D184" s="3" t="s">
        <v>41</v>
      </c>
      <c r="E184" s="3" t="s">
        <v>33</v>
      </c>
      <c r="F184" s="3" t="s">
        <v>9</v>
      </c>
      <c r="G184" s="3" t="s">
        <v>10</v>
      </c>
      <c r="H184" s="3" t="s">
        <v>172</v>
      </c>
      <c r="I184" s="3" t="s">
        <v>20</v>
      </c>
      <c r="J184" s="3">
        <v>5</v>
      </c>
      <c r="K184" s="5">
        <v>58000</v>
      </c>
      <c r="L184" s="6">
        <v>0.15</v>
      </c>
      <c r="M184" s="5">
        <v>246500</v>
      </c>
      <c r="N184" s="5">
        <v>39000</v>
      </c>
      <c r="O184" s="3" t="s">
        <v>13</v>
      </c>
      <c r="P184" s="3" t="s">
        <v>30</v>
      </c>
    </row>
    <row r="185" spans="1:16" x14ac:dyDescent="0.25">
      <c r="A185" s="3">
        <v>100184</v>
      </c>
      <c r="B185" s="4">
        <v>46044</v>
      </c>
      <c r="C185" s="3" t="s">
        <v>32</v>
      </c>
      <c r="D185" s="3" t="s">
        <v>16</v>
      </c>
      <c r="E185" s="3" t="s">
        <v>33</v>
      </c>
      <c r="F185" s="3" t="s">
        <v>9</v>
      </c>
      <c r="G185" s="3" t="s">
        <v>42</v>
      </c>
      <c r="H185" s="3" t="s">
        <v>169</v>
      </c>
      <c r="I185" s="3" t="s">
        <v>12</v>
      </c>
      <c r="J185" s="3">
        <v>1</v>
      </c>
      <c r="K185" s="5">
        <v>42000</v>
      </c>
      <c r="L185" s="6">
        <v>0</v>
      </c>
      <c r="M185" s="5">
        <v>42000</v>
      </c>
      <c r="N185" s="5">
        <v>28000</v>
      </c>
      <c r="O185" s="3" t="s">
        <v>13</v>
      </c>
      <c r="P185" s="3" t="s">
        <v>48</v>
      </c>
    </row>
    <row r="186" spans="1:16" x14ac:dyDescent="0.25">
      <c r="A186" s="3">
        <v>100185</v>
      </c>
      <c r="B186" s="4">
        <v>46035</v>
      </c>
      <c r="C186" s="3" t="s">
        <v>22</v>
      </c>
      <c r="D186" s="3" t="s">
        <v>7</v>
      </c>
      <c r="E186" s="3" t="s">
        <v>8</v>
      </c>
      <c r="F186" s="3" t="s">
        <v>9</v>
      </c>
      <c r="G186" s="3" t="s">
        <v>42</v>
      </c>
      <c r="H186" s="3" t="s">
        <v>173</v>
      </c>
      <c r="I186" s="3" t="s">
        <v>20</v>
      </c>
      <c r="J186" s="3">
        <v>2</v>
      </c>
      <c r="K186" s="5">
        <v>42000</v>
      </c>
      <c r="L186" s="6">
        <v>0.15</v>
      </c>
      <c r="M186" s="5">
        <v>71400</v>
      </c>
      <c r="N186" s="5">
        <v>28000</v>
      </c>
      <c r="O186" s="3" t="s">
        <v>13</v>
      </c>
      <c r="P186" s="3" t="s">
        <v>21</v>
      </c>
    </row>
    <row r="187" spans="1:16" x14ac:dyDescent="0.25">
      <c r="A187" s="3">
        <v>100186</v>
      </c>
      <c r="B187" s="4">
        <v>46041</v>
      </c>
      <c r="C187" s="3" t="s">
        <v>6</v>
      </c>
      <c r="D187" s="3" t="s">
        <v>7</v>
      </c>
      <c r="E187" s="3" t="s">
        <v>27</v>
      </c>
      <c r="F187" s="3" t="s">
        <v>140</v>
      </c>
      <c r="G187" s="3" t="s">
        <v>50</v>
      </c>
      <c r="H187" s="3" t="s">
        <v>130</v>
      </c>
      <c r="I187" s="3" t="s">
        <v>12</v>
      </c>
      <c r="J187" s="3">
        <v>2</v>
      </c>
      <c r="K187" s="5">
        <v>9000</v>
      </c>
      <c r="L187" s="6">
        <v>0.05</v>
      </c>
      <c r="M187" s="5">
        <v>17100</v>
      </c>
      <c r="N187" s="5">
        <v>3500</v>
      </c>
      <c r="O187" s="3" t="s">
        <v>13</v>
      </c>
      <c r="P187" s="3" t="s">
        <v>30</v>
      </c>
    </row>
    <row r="188" spans="1:16" x14ac:dyDescent="0.25">
      <c r="A188" s="3">
        <v>100187</v>
      </c>
      <c r="B188" s="4">
        <v>46025</v>
      </c>
      <c r="C188" s="3" t="s">
        <v>25</v>
      </c>
      <c r="D188" s="3" t="s">
        <v>26</v>
      </c>
      <c r="E188" s="3" t="s">
        <v>33</v>
      </c>
      <c r="F188" s="3" t="s">
        <v>9</v>
      </c>
      <c r="G188" s="3" t="s">
        <v>10</v>
      </c>
      <c r="H188" s="3" t="s">
        <v>174</v>
      </c>
      <c r="I188" s="3" t="s">
        <v>12</v>
      </c>
      <c r="J188" s="3">
        <v>2</v>
      </c>
      <c r="K188" s="5">
        <v>58000</v>
      </c>
      <c r="L188" s="6">
        <v>0.1</v>
      </c>
      <c r="M188" s="5">
        <v>104400</v>
      </c>
      <c r="N188" s="5">
        <v>39000</v>
      </c>
      <c r="O188" s="3" t="s">
        <v>13</v>
      </c>
      <c r="P188" s="3" t="s">
        <v>54</v>
      </c>
    </row>
    <row r="189" spans="1:16" x14ac:dyDescent="0.25">
      <c r="A189" s="3">
        <v>100188</v>
      </c>
      <c r="B189" s="4">
        <v>46170</v>
      </c>
      <c r="C189" s="3" t="s">
        <v>25</v>
      </c>
      <c r="D189" s="3" t="s">
        <v>26</v>
      </c>
      <c r="E189" s="3" t="s">
        <v>27</v>
      </c>
      <c r="F189" s="3" t="s">
        <v>17</v>
      </c>
      <c r="G189" s="3" t="s">
        <v>23</v>
      </c>
      <c r="H189" s="3" t="s">
        <v>134</v>
      </c>
      <c r="I189" s="3" t="s">
        <v>12</v>
      </c>
      <c r="J189" s="3">
        <v>1</v>
      </c>
      <c r="K189" s="5">
        <v>32000</v>
      </c>
      <c r="L189" s="6">
        <v>0.1</v>
      </c>
      <c r="M189" s="5">
        <v>28800</v>
      </c>
      <c r="N189" s="3"/>
      <c r="O189" s="3" t="s">
        <v>13</v>
      </c>
      <c r="P189" s="3" t="s">
        <v>21</v>
      </c>
    </row>
    <row r="190" spans="1:16" x14ac:dyDescent="0.25">
      <c r="A190" s="3">
        <v>100189</v>
      </c>
      <c r="B190" s="4">
        <v>46136</v>
      </c>
      <c r="C190" s="3" t="s">
        <v>6</v>
      </c>
      <c r="D190" s="3" t="s">
        <v>7</v>
      </c>
      <c r="E190" s="3" t="s">
        <v>8</v>
      </c>
      <c r="F190" s="3" t="s">
        <v>34</v>
      </c>
      <c r="G190" s="3" t="s">
        <v>35</v>
      </c>
      <c r="H190" s="3" t="s">
        <v>157</v>
      </c>
      <c r="I190" s="3" t="s">
        <v>20</v>
      </c>
      <c r="J190" s="3">
        <v>1</v>
      </c>
      <c r="K190" s="5">
        <v>6500</v>
      </c>
      <c r="L190" s="6">
        <v>0.05</v>
      </c>
      <c r="M190" s="5">
        <v>6175</v>
      </c>
      <c r="N190" s="5">
        <v>2200</v>
      </c>
      <c r="O190" s="3" t="s">
        <v>13</v>
      </c>
      <c r="P190" s="3" t="s">
        <v>14</v>
      </c>
    </row>
    <row r="191" spans="1:16" x14ac:dyDescent="0.25">
      <c r="A191" s="3">
        <v>100190</v>
      </c>
      <c r="B191" s="4">
        <v>46158</v>
      </c>
      <c r="C191" s="3" t="s">
        <v>15</v>
      </c>
      <c r="D191" s="3" t="s">
        <v>16</v>
      </c>
      <c r="E191" s="3" t="s">
        <v>8</v>
      </c>
      <c r="F191" s="3" t="s">
        <v>9</v>
      </c>
      <c r="G191" s="3" t="s">
        <v>42</v>
      </c>
      <c r="H191" s="3" t="s">
        <v>56</v>
      </c>
      <c r="I191" s="3" t="s">
        <v>20</v>
      </c>
      <c r="J191" s="3">
        <v>2</v>
      </c>
      <c r="K191" s="5">
        <v>42000</v>
      </c>
      <c r="L191" s="6">
        <v>0.15</v>
      </c>
      <c r="M191" s="5">
        <v>71400</v>
      </c>
      <c r="N191" s="5">
        <v>28000</v>
      </c>
      <c r="O191" s="3" t="s">
        <v>13</v>
      </c>
      <c r="P191" s="3" t="s">
        <v>37</v>
      </c>
    </row>
    <row r="192" spans="1:16" x14ac:dyDescent="0.25">
      <c r="A192" s="3">
        <v>100191</v>
      </c>
      <c r="B192" s="4">
        <v>46051</v>
      </c>
      <c r="C192" s="3" t="s">
        <v>40</v>
      </c>
      <c r="D192" s="3" t="s">
        <v>41</v>
      </c>
      <c r="E192" s="3" t="s">
        <v>33</v>
      </c>
      <c r="F192" s="3" t="s">
        <v>34</v>
      </c>
      <c r="G192" s="3" t="s">
        <v>35</v>
      </c>
      <c r="H192" s="3" t="s">
        <v>168</v>
      </c>
      <c r="I192" s="3" t="s">
        <v>12</v>
      </c>
      <c r="J192" s="3">
        <v>3</v>
      </c>
      <c r="K192" s="5">
        <v>6500</v>
      </c>
      <c r="L192" s="6">
        <v>0.1</v>
      </c>
      <c r="M192" s="5">
        <v>17550</v>
      </c>
      <c r="N192" s="5">
        <v>2200</v>
      </c>
      <c r="O192" s="3" t="s">
        <v>13</v>
      </c>
      <c r="P192" s="3" t="s">
        <v>48</v>
      </c>
    </row>
    <row r="193" spans="1:16" x14ac:dyDescent="0.25">
      <c r="A193" s="3">
        <v>100192</v>
      </c>
      <c r="B193" s="4">
        <v>46088</v>
      </c>
      <c r="C193" s="3" t="s">
        <v>25</v>
      </c>
      <c r="D193" s="3" t="s">
        <v>26</v>
      </c>
      <c r="E193" s="3" t="s">
        <v>27</v>
      </c>
      <c r="F193" s="3" t="s">
        <v>17</v>
      </c>
      <c r="G193" s="3" t="s">
        <v>18</v>
      </c>
      <c r="H193" s="3" t="s">
        <v>124</v>
      </c>
      <c r="I193" s="3" t="s">
        <v>20</v>
      </c>
      <c r="J193" s="3">
        <v>2</v>
      </c>
      <c r="K193" s="5">
        <v>165000</v>
      </c>
      <c r="L193" s="6">
        <v>0.1</v>
      </c>
      <c r="M193" s="5">
        <v>267300</v>
      </c>
      <c r="N193" s="5">
        <v>112000</v>
      </c>
      <c r="O193" s="3" t="s">
        <v>13</v>
      </c>
      <c r="P193" s="3" t="s">
        <v>48</v>
      </c>
    </row>
    <row r="194" spans="1:16" x14ac:dyDescent="0.25">
      <c r="A194" s="3">
        <v>100193</v>
      </c>
      <c r="B194" s="4">
        <v>46226</v>
      </c>
      <c r="C194" s="3" t="s">
        <v>45</v>
      </c>
      <c r="D194" s="3" t="s">
        <v>46</v>
      </c>
      <c r="E194" s="3" t="s">
        <v>27</v>
      </c>
      <c r="F194" s="3" t="s">
        <v>17</v>
      </c>
      <c r="G194" s="3" t="s">
        <v>28</v>
      </c>
      <c r="H194" s="3" t="s">
        <v>171</v>
      </c>
      <c r="I194" s="3" t="s">
        <v>12</v>
      </c>
      <c r="J194" s="3">
        <v>3</v>
      </c>
      <c r="K194" s="5">
        <v>26000</v>
      </c>
      <c r="L194" s="6">
        <v>0.1</v>
      </c>
      <c r="M194" s="5">
        <v>70200</v>
      </c>
      <c r="N194" s="5">
        <v>15000</v>
      </c>
      <c r="O194" s="3" t="s">
        <v>13</v>
      </c>
      <c r="P194" s="3" t="s">
        <v>37</v>
      </c>
    </row>
    <row r="195" spans="1:16" x14ac:dyDescent="0.25">
      <c r="A195" s="3">
        <v>100194</v>
      </c>
      <c r="B195" s="4">
        <v>46165</v>
      </c>
      <c r="C195" s="3" t="s">
        <v>6</v>
      </c>
      <c r="D195" s="3" t="s">
        <v>7</v>
      </c>
      <c r="E195" s="3" t="s">
        <v>8</v>
      </c>
      <c r="F195" s="3" t="s">
        <v>17</v>
      </c>
      <c r="G195" s="3" t="s">
        <v>18</v>
      </c>
      <c r="H195" s="3" t="s">
        <v>123</v>
      </c>
      <c r="I195" s="3" t="s">
        <v>20</v>
      </c>
      <c r="J195" s="3">
        <v>3</v>
      </c>
      <c r="K195" s="5">
        <v>165000</v>
      </c>
      <c r="L195" s="6">
        <v>0.25</v>
      </c>
      <c r="M195" s="5">
        <v>371250</v>
      </c>
      <c r="N195" s="5">
        <v>112000</v>
      </c>
      <c r="O195" s="3" t="s">
        <v>13</v>
      </c>
      <c r="P195" s="3" t="s">
        <v>37</v>
      </c>
    </row>
    <row r="196" spans="1:16" x14ac:dyDescent="0.25">
      <c r="A196" s="3">
        <v>100195</v>
      </c>
      <c r="B196" s="4">
        <v>46109</v>
      </c>
      <c r="C196" s="3" t="s">
        <v>45</v>
      </c>
      <c r="D196" s="3" t="s">
        <v>46</v>
      </c>
      <c r="E196" s="3" t="s">
        <v>33</v>
      </c>
      <c r="F196" s="3" t="s">
        <v>9</v>
      </c>
      <c r="G196" s="3" t="s">
        <v>52</v>
      </c>
      <c r="H196" s="3" t="s">
        <v>113</v>
      </c>
      <c r="I196" s="3" t="s">
        <v>12</v>
      </c>
      <c r="J196" s="3">
        <v>2</v>
      </c>
      <c r="K196" s="5">
        <v>24000</v>
      </c>
      <c r="L196" s="6">
        <v>0.05</v>
      </c>
      <c r="M196" s="5">
        <v>45600</v>
      </c>
      <c r="N196" s="5">
        <v>15000</v>
      </c>
      <c r="O196" s="3" t="s">
        <v>13</v>
      </c>
      <c r="P196" s="3" t="s">
        <v>54</v>
      </c>
    </row>
    <row r="197" spans="1:16" x14ac:dyDescent="0.25">
      <c r="A197" s="3">
        <v>100196</v>
      </c>
      <c r="B197" s="4">
        <v>46078</v>
      </c>
      <c r="C197" s="3" t="s">
        <v>32</v>
      </c>
      <c r="D197" s="3" t="s">
        <v>175</v>
      </c>
      <c r="E197" s="3" t="s">
        <v>33</v>
      </c>
      <c r="F197" s="3" t="s">
        <v>17</v>
      </c>
      <c r="G197" s="3" t="s">
        <v>23</v>
      </c>
      <c r="H197" s="3" t="s">
        <v>176</v>
      </c>
      <c r="I197" s="3" t="s">
        <v>20</v>
      </c>
      <c r="J197" s="3">
        <v>4</v>
      </c>
      <c r="K197" s="5">
        <v>32000</v>
      </c>
      <c r="L197" s="6">
        <v>0.1</v>
      </c>
      <c r="M197" s="5">
        <v>115200</v>
      </c>
      <c r="N197" s="5">
        <v>19000</v>
      </c>
      <c r="O197" s="3" t="s">
        <v>13</v>
      </c>
      <c r="P197" s="3" t="s">
        <v>30</v>
      </c>
    </row>
    <row r="198" spans="1:16" x14ac:dyDescent="0.25">
      <c r="A198" s="3">
        <v>100197</v>
      </c>
      <c r="B198" s="4">
        <v>46235</v>
      </c>
      <c r="C198" s="3" t="s">
        <v>22</v>
      </c>
      <c r="D198" s="3" t="s">
        <v>7</v>
      </c>
      <c r="E198" s="3" t="s">
        <v>27</v>
      </c>
      <c r="F198" s="3" t="s">
        <v>34</v>
      </c>
      <c r="G198" s="3" t="s">
        <v>50</v>
      </c>
      <c r="H198" s="3" t="s">
        <v>177</v>
      </c>
      <c r="I198" s="3" t="s">
        <v>20</v>
      </c>
      <c r="J198" s="3">
        <v>1</v>
      </c>
      <c r="K198" s="5">
        <v>9000</v>
      </c>
      <c r="L198" s="6">
        <v>0.25</v>
      </c>
      <c r="M198" s="5">
        <v>6750</v>
      </c>
      <c r="N198" s="5">
        <v>3500</v>
      </c>
      <c r="O198" s="3" t="s">
        <v>66</v>
      </c>
      <c r="P198" s="3" t="s">
        <v>21</v>
      </c>
    </row>
    <row r="199" spans="1:16" x14ac:dyDescent="0.25">
      <c r="A199" s="3">
        <v>100198</v>
      </c>
      <c r="B199" s="4">
        <v>46142</v>
      </c>
      <c r="C199" s="3" t="s">
        <v>25</v>
      </c>
      <c r="D199" s="3" t="s">
        <v>26</v>
      </c>
      <c r="E199" s="3" t="s">
        <v>27</v>
      </c>
      <c r="F199" s="3" t="s">
        <v>17</v>
      </c>
      <c r="G199" s="3" t="s">
        <v>18</v>
      </c>
      <c r="H199" s="3" t="s">
        <v>108</v>
      </c>
      <c r="I199" s="3" t="s">
        <v>20</v>
      </c>
      <c r="J199" s="3">
        <v>2</v>
      </c>
      <c r="K199" s="5">
        <v>165000</v>
      </c>
      <c r="L199" s="6">
        <v>0.05</v>
      </c>
      <c r="M199" s="5">
        <v>313500</v>
      </c>
      <c r="N199" s="5">
        <v>112000</v>
      </c>
      <c r="O199" s="3" t="s">
        <v>13</v>
      </c>
      <c r="P199" s="3" t="s">
        <v>44</v>
      </c>
    </row>
    <row r="200" spans="1:16" x14ac:dyDescent="0.25">
      <c r="A200" s="3">
        <v>100199</v>
      </c>
      <c r="B200" s="4">
        <v>46170</v>
      </c>
      <c r="C200" s="3" t="s">
        <v>40</v>
      </c>
      <c r="D200" s="3" t="s">
        <v>41</v>
      </c>
      <c r="E200" s="3" t="s">
        <v>8</v>
      </c>
      <c r="F200" s="3" t="s">
        <v>34</v>
      </c>
      <c r="G200" s="3" t="s">
        <v>55</v>
      </c>
      <c r="H200" s="3" t="s">
        <v>90</v>
      </c>
      <c r="I200" s="3" t="s">
        <v>20</v>
      </c>
      <c r="J200" s="3">
        <v>2</v>
      </c>
      <c r="K200" s="5">
        <v>28000</v>
      </c>
      <c r="L200" s="6">
        <v>0.05</v>
      </c>
      <c r="M200" s="5">
        <v>53200</v>
      </c>
      <c r="N200" s="5">
        <v>16000</v>
      </c>
      <c r="O200" s="3" t="s">
        <v>13</v>
      </c>
      <c r="P200" s="3" t="s">
        <v>48</v>
      </c>
    </row>
    <row r="201" spans="1:16" x14ac:dyDescent="0.25">
      <c r="A201" s="3">
        <v>100200</v>
      </c>
      <c r="B201" s="4">
        <v>46024</v>
      </c>
      <c r="C201" s="3" t="s">
        <v>25</v>
      </c>
      <c r="D201" s="3" t="s">
        <v>26</v>
      </c>
      <c r="E201" s="3" t="s">
        <v>33</v>
      </c>
      <c r="F201" s="3" t="s">
        <v>34</v>
      </c>
      <c r="G201" s="3" t="s">
        <v>55</v>
      </c>
      <c r="H201" s="3" t="s">
        <v>115</v>
      </c>
      <c r="I201" s="3" t="s">
        <v>20</v>
      </c>
      <c r="J201" s="3">
        <v>2</v>
      </c>
      <c r="K201" s="5">
        <v>28000</v>
      </c>
      <c r="L201" s="6">
        <v>0.05</v>
      </c>
      <c r="M201" s="5">
        <v>53200</v>
      </c>
      <c r="N201" s="5">
        <v>16000</v>
      </c>
      <c r="O201" s="3" t="s">
        <v>13</v>
      </c>
      <c r="P201" s="3" t="s">
        <v>54</v>
      </c>
    </row>
    <row r="202" spans="1:16" x14ac:dyDescent="0.25">
      <c r="A202" s="3">
        <v>100201</v>
      </c>
      <c r="B202" s="4">
        <v>46075</v>
      </c>
      <c r="C202" s="3" t="s">
        <v>25</v>
      </c>
      <c r="D202" s="3" t="s">
        <v>26</v>
      </c>
      <c r="E202" s="3" t="s">
        <v>27</v>
      </c>
      <c r="F202" s="3" t="s">
        <v>34</v>
      </c>
      <c r="G202" s="3" t="s">
        <v>35</v>
      </c>
      <c r="H202" s="3" t="s">
        <v>36</v>
      </c>
      <c r="I202" s="3" t="s">
        <v>12</v>
      </c>
      <c r="J202" s="3">
        <v>4</v>
      </c>
      <c r="K202" s="5">
        <v>6500</v>
      </c>
      <c r="L202" s="6">
        <v>0</v>
      </c>
      <c r="M202" s="5">
        <v>26000</v>
      </c>
      <c r="N202" s="5">
        <v>2200</v>
      </c>
      <c r="O202" s="3" t="s">
        <v>66</v>
      </c>
      <c r="P202" s="3" t="s">
        <v>74</v>
      </c>
    </row>
    <row r="203" spans="1:16" x14ac:dyDescent="0.25">
      <c r="A203" s="3">
        <v>100202</v>
      </c>
      <c r="B203" s="4">
        <v>46228</v>
      </c>
      <c r="C203" s="3" t="s">
        <v>22</v>
      </c>
      <c r="D203" s="3" t="s">
        <v>7</v>
      </c>
      <c r="E203" s="3" t="s">
        <v>27</v>
      </c>
      <c r="F203" s="3" t="s">
        <v>34</v>
      </c>
      <c r="G203" s="3" t="s">
        <v>35</v>
      </c>
      <c r="H203" s="3" t="s">
        <v>120</v>
      </c>
      <c r="I203" s="3" t="s">
        <v>12</v>
      </c>
      <c r="J203" s="3">
        <v>1</v>
      </c>
      <c r="K203" s="5">
        <v>6500</v>
      </c>
      <c r="L203" s="6">
        <v>0.05</v>
      </c>
      <c r="M203" s="5">
        <v>6175</v>
      </c>
      <c r="N203" s="5">
        <v>2200</v>
      </c>
      <c r="O203" s="3" t="s">
        <v>13</v>
      </c>
      <c r="P203" s="3" t="s">
        <v>44</v>
      </c>
    </row>
    <row r="204" spans="1:16" x14ac:dyDescent="0.25">
      <c r="A204" s="3">
        <v>100203</v>
      </c>
      <c r="B204" s="4">
        <v>46151</v>
      </c>
      <c r="C204" s="3" t="s">
        <v>22</v>
      </c>
      <c r="D204" s="3" t="s">
        <v>7</v>
      </c>
      <c r="E204" s="3" t="s">
        <v>33</v>
      </c>
      <c r="F204" s="3" t="s">
        <v>17</v>
      </c>
      <c r="G204" s="3" t="s">
        <v>18</v>
      </c>
      <c r="H204" s="3" t="s">
        <v>144</v>
      </c>
      <c r="I204" s="3" t="s">
        <v>20</v>
      </c>
      <c r="J204" s="3">
        <v>1</v>
      </c>
      <c r="K204" s="5">
        <v>165000</v>
      </c>
      <c r="L204" s="6">
        <v>0.25</v>
      </c>
      <c r="M204" s="5">
        <v>123750</v>
      </c>
      <c r="N204" s="5">
        <v>112000</v>
      </c>
      <c r="O204" s="3" t="s">
        <v>13</v>
      </c>
      <c r="P204" s="3" t="s">
        <v>54</v>
      </c>
    </row>
    <row r="205" spans="1:16" x14ac:dyDescent="0.25">
      <c r="A205" s="3">
        <v>100204</v>
      </c>
      <c r="B205" s="4">
        <v>46099</v>
      </c>
      <c r="C205" s="3" t="s">
        <v>6</v>
      </c>
      <c r="D205" s="3" t="s">
        <v>7</v>
      </c>
      <c r="E205" s="3" t="s">
        <v>33</v>
      </c>
      <c r="F205" s="3" t="s">
        <v>34</v>
      </c>
      <c r="G205" s="3" t="s">
        <v>50</v>
      </c>
      <c r="H205" s="3" t="s">
        <v>135</v>
      </c>
      <c r="I205" s="3" t="s">
        <v>20</v>
      </c>
      <c r="J205" s="3">
        <v>3</v>
      </c>
      <c r="K205" s="5">
        <v>9000</v>
      </c>
      <c r="L205" s="6">
        <v>0.25</v>
      </c>
      <c r="M205" s="5">
        <v>20250</v>
      </c>
      <c r="N205" s="5">
        <v>3500</v>
      </c>
      <c r="O205" s="3" t="s">
        <v>13</v>
      </c>
      <c r="P205" s="3" t="s">
        <v>44</v>
      </c>
    </row>
    <row r="206" spans="1:16" x14ac:dyDescent="0.25">
      <c r="A206" s="3">
        <v>100205</v>
      </c>
      <c r="B206" s="4">
        <v>46032</v>
      </c>
      <c r="C206" s="3" t="s">
        <v>45</v>
      </c>
      <c r="D206" s="3" t="s">
        <v>46</v>
      </c>
      <c r="E206" s="3" t="s">
        <v>27</v>
      </c>
      <c r="F206" s="3" t="s">
        <v>9</v>
      </c>
      <c r="G206" s="3" t="s">
        <v>52</v>
      </c>
      <c r="H206" s="3" t="s">
        <v>178</v>
      </c>
      <c r="I206" s="3" t="s">
        <v>12</v>
      </c>
      <c r="J206" s="3">
        <v>5</v>
      </c>
      <c r="K206" s="5">
        <v>24000</v>
      </c>
      <c r="L206" s="6">
        <v>0.1</v>
      </c>
      <c r="M206" s="5">
        <v>108000</v>
      </c>
      <c r="N206" s="5">
        <v>15000</v>
      </c>
      <c r="O206" s="3" t="s">
        <v>13</v>
      </c>
      <c r="P206" s="3" t="s">
        <v>30</v>
      </c>
    </row>
    <row r="207" spans="1:16" x14ac:dyDescent="0.25">
      <c r="A207" s="3">
        <v>100206</v>
      </c>
      <c r="B207" s="4">
        <v>46244</v>
      </c>
      <c r="C207" s="3" t="s">
        <v>32</v>
      </c>
      <c r="D207" s="3" t="s">
        <v>16</v>
      </c>
      <c r="E207" s="3" t="s">
        <v>8</v>
      </c>
      <c r="F207" s="3" t="s">
        <v>9</v>
      </c>
      <c r="G207" s="3" t="s">
        <v>10</v>
      </c>
      <c r="H207" s="3" t="s">
        <v>120</v>
      </c>
      <c r="I207" s="3" t="s">
        <v>12</v>
      </c>
      <c r="J207" s="3">
        <v>1</v>
      </c>
      <c r="K207" s="5">
        <v>58000</v>
      </c>
      <c r="L207" s="6">
        <v>0.15</v>
      </c>
      <c r="M207" s="5">
        <v>49300</v>
      </c>
      <c r="N207" s="5">
        <v>39000</v>
      </c>
      <c r="O207" s="3" t="s">
        <v>13</v>
      </c>
      <c r="P207" s="3" t="s">
        <v>74</v>
      </c>
    </row>
    <row r="208" spans="1:16" x14ac:dyDescent="0.25">
      <c r="A208" s="3">
        <v>100207</v>
      </c>
      <c r="B208" s="4">
        <v>46112</v>
      </c>
      <c r="C208" s="3" t="s">
        <v>40</v>
      </c>
      <c r="D208" s="3" t="s">
        <v>41</v>
      </c>
      <c r="E208" s="3" t="s">
        <v>33</v>
      </c>
      <c r="F208" s="3" t="s">
        <v>17</v>
      </c>
      <c r="G208" s="3" t="s">
        <v>18</v>
      </c>
      <c r="H208" s="3" t="s">
        <v>125</v>
      </c>
      <c r="I208" s="3" t="s">
        <v>20</v>
      </c>
      <c r="J208" s="3">
        <v>1</v>
      </c>
      <c r="K208" s="5">
        <v>165000</v>
      </c>
      <c r="L208" s="6">
        <v>0.1</v>
      </c>
      <c r="M208" s="5">
        <v>148500</v>
      </c>
      <c r="N208" s="5">
        <v>112000</v>
      </c>
      <c r="O208" s="3" t="s">
        <v>13</v>
      </c>
      <c r="P208" s="3" t="s">
        <v>21</v>
      </c>
    </row>
    <row r="209" spans="1:16" x14ac:dyDescent="0.25">
      <c r="A209" s="3">
        <v>100208</v>
      </c>
      <c r="B209" s="4">
        <v>46100</v>
      </c>
      <c r="C209" s="3" t="s">
        <v>6</v>
      </c>
      <c r="D209" s="3" t="s">
        <v>7</v>
      </c>
      <c r="E209" s="3" t="s">
        <v>33</v>
      </c>
      <c r="F209" s="3" t="s">
        <v>9</v>
      </c>
      <c r="G209" s="3" t="s">
        <v>10</v>
      </c>
      <c r="H209" s="3" t="s">
        <v>147</v>
      </c>
      <c r="I209" s="3" t="s">
        <v>20</v>
      </c>
      <c r="J209" s="3">
        <v>2</v>
      </c>
      <c r="K209" s="5">
        <v>58000</v>
      </c>
      <c r="L209" s="6">
        <v>0.15</v>
      </c>
      <c r="M209" s="5">
        <v>98600</v>
      </c>
      <c r="N209" s="3"/>
      <c r="O209" s="3" t="s">
        <v>13</v>
      </c>
      <c r="P209" s="3" t="s">
        <v>21</v>
      </c>
    </row>
    <row r="210" spans="1:16" x14ac:dyDescent="0.25">
      <c r="A210" s="3">
        <v>100209</v>
      </c>
      <c r="B210" s="4">
        <v>46207</v>
      </c>
      <c r="C210" s="3" t="s">
        <v>25</v>
      </c>
      <c r="D210" s="3" t="s">
        <v>26</v>
      </c>
      <c r="E210" s="3" t="s">
        <v>33</v>
      </c>
      <c r="F210" s="3" t="s">
        <v>17</v>
      </c>
      <c r="G210" s="3" t="s">
        <v>28</v>
      </c>
      <c r="H210" s="3" t="s">
        <v>137</v>
      </c>
      <c r="I210" s="3" t="s">
        <v>20</v>
      </c>
      <c r="J210" s="3">
        <v>3</v>
      </c>
      <c r="K210" s="5">
        <v>26000</v>
      </c>
      <c r="L210" s="6">
        <v>0</v>
      </c>
      <c r="M210" s="5">
        <v>78000</v>
      </c>
      <c r="N210" s="5">
        <v>15000</v>
      </c>
      <c r="O210" s="3" t="s">
        <v>13</v>
      </c>
      <c r="P210" s="3" t="s">
        <v>21</v>
      </c>
    </row>
    <row r="211" spans="1:16" x14ac:dyDescent="0.25">
      <c r="A211" s="3">
        <v>100210</v>
      </c>
      <c r="B211" s="4">
        <v>46239</v>
      </c>
      <c r="C211" s="3" t="s">
        <v>45</v>
      </c>
      <c r="D211" s="3" t="s">
        <v>46</v>
      </c>
      <c r="E211" s="3" t="s">
        <v>33</v>
      </c>
      <c r="F211" s="3" t="s">
        <v>17</v>
      </c>
      <c r="G211" s="3" t="s">
        <v>23</v>
      </c>
      <c r="H211" s="3" t="s">
        <v>162</v>
      </c>
      <c r="I211" s="3" t="s">
        <v>20</v>
      </c>
      <c r="J211" s="3">
        <v>1</v>
      </c>
      <c r="K211" s="5">
        <v>32000</v>
      </c>
      <c r="L211" s="6">
        <v>0</v>
      </c>
      <c r="M211" s="5">
        <v>32000</v>
      </c>
      <c r="N211" s="5">
        <v>19000</v>
      </c>
      <c r="O211" s="3" t="s">
        <v>13</v>
      </c>
      <c r="P211" s="3" t="s">
        <v>30</v>
      </c>
    </row>
    <row r="212" spans="1:16" x14ac:dyDescent="0.25">
      <c r="A212" s="3">
        <v>100211</v>
      </c>
      <c r="B212" s="4">
        <v>46260</v>
      </c>
      <c r="C212" s="3" t="s">
        <v>25</v>
      </c>
      <c r="D212" s="3" t="s">
        <v>26</v>
      </c>
      <c r="E212" s="3" t="s">
        <v>33</v>
      </c>
      <c r="F212" s="3" t="s">
        <v>9</v>
      </c>
      <c r="G212" s="3" t="s">
        <v>42</v>
      </c>
      <c r="H212" s="3" t="s">
        <v>86</v>
      </c>
      <c r="I212" s="3" t="s">
        <v>20</v>
      </c>
      <c r="J212" s="3">
        <v>4</v>
      </c>
      <c r="K212" s="5">
        <v>42000</v>
      </c>
      <c r="L212" s="6">
        <v>0</v>
      </c>
      <c r="M212" s="5">
        <v>168000</v>
      </c>
      <c r="N212" s="5">
        <v>28000</v>
      </c>
      <c r="O212" s="3" t="s">
        <v>13</v>
      </c>
      <c r="P212" s="3" t="s">
        <v>44</v>
      </c>
    </row>
    <row r="213" spans="1:16" x14ac:dyDescent="0.25">
      <c r="A213" s="3">
        <v>100212</v>
      </c>
      <c r="B213" s="4">
        <v>46117</v>
      </c>
      <c r="C213" s="3" t="s">
        <v>40</v>
      </c>
      <c r="D213" s="3" t="s">
        <v>41</v>
      </c>
      <c r="E213" s="3" t="s">
        <v>27</v>
      </c>
      <c r="F213" s="3" t="s">
        <v>9</v>
      </c>
      <c r="G213" s="3" t="s">
        <v>52</v>
      </c>
      <c r="H213" s="3" t="s">
        <v>100</v>
      </c>
      <c r="I213" s="3" t="s">
        <v>20</v>
      </c>
      <c r="J213" s="3">
        <v>2</v>
      </c>
      <c r="K213" s="5">
        <v>24000</v>
      </c>
      <c r="L213" s="6">
        <v>0.15</v>
      </c>
      <c r="M213" s="5">
        <v>40800</v>
      </c>
      <c r="N213" s="5">
        <v>15000</v>
      </c>
      <c r="O213" s="3" t="s">
        <v>13</v>
      </c>
      <c r="P213" s="3" t="s">
        <v>54</v>
      </c>
    </row>
    <row r="214" spans="1:16" x14ac:dyDescent="0.25">
      <c r="A214" s="3">
        <v>100213</v>
      </c>
      <c r="B214" s="4">
        <v>46023</v>
      </c>
      <c r="C214" s="3" t="s">
        <v>6</v>
      </c>
      <c r="D214" s="3" t="s">
        <v>7</v>
      </c>
      <c r="E214" s="3" t="s">
        <v>33</v>
      </c>
      <c r="F214" s="3" t="s">
        <v>17</v>
      </c>
      <c r="G214" s="3" t="s">
        <v>18</v>
      </c>
      <c r="H214" s="3" t="s">
        <v>179</v>
      </c>
      <c r="I214" s="3" t="s">
        <v>12</v>
      </c>
      <c r="J214" s="3">
        <v>2</v>
      </c>
      <c r="K214" s="5">
        <v>165000</v>
      </c>
      <c r="L214" s="6">
        <v>0.15</v>
      </c>
      <c r="M214" s="5">
        <v>280500</v>
      </c>
      <c r="N214" s="3"/>
      <c r="O214" s="3" t="s">
        <v>13</v>
      </c>
      <c r="P214" s="3" t="s">
        <v>44</v>
      </c>
    </row>
    <row r="215" spans="1:16" x14ac:dyDescent="0.25">
      <c r="A215" s="3">
        <v>100214</v>
      </c>
      <c r="B215" s="4">
        <v>46086</v>
      </c>
      <c r="C215" s="3" t="s">
        <v>15</v>
      </c>
      <c r="D215" s="3" t="s">
        <v>16</v>
      </c>
      <c r="E215" s="3" t="s">
        <v>33</v>
      </c>
      <c r="F215" s="3" t="s">
        <v>34</v>
      </c>
      <c r="G215" s="3" t="s">
        <v>35</v>
      </c>
      <c r="H215" s="3" t="s">
        <v>173</v>
      </c>
      <c r="I215" s="3" t="s">
        <v>12</v>
      </c>
      <c r="J215" s="3">
        <v>2</v>
      </c>
      <c r="K215" s="5">
        <v>6500</v>
      </c>
      <c r="L215" s="6">
        <v>0.05</v>
      </c>
      <c r="M215" s="5">
        <v>12350</v>
      </c>
      <c r="N215" s="5">
        <v>2200</v>
      </c>
      <c r="O215" s="3" t="s">
        <v>13</v>
      </c>
      <c r="P215" s="3" t="s">
        <v>30</v>
      </c>
    </row>
    <row r="216" spans="1:16" x14ac:dyDescent="0.25">
      <c r="A216" s="3">
        <v>100215</v>
      </c>
      <c r="B216" s="4">
        <v>46128</v>
      </c>
      <c r="C216" s="3" t="s">
        <v>25</v>
      </c>
      <c r="D216" s="3" t="s">
        <v>26</v>
      </c>
      <c r="E216" s="3" t="s">
        <v>33</v>
      </c>
      <c r="F216" s="3" t="s">
        <v>17</v>
      </c>
      <c r="G216" s="3" t="s">
        <v>28</v>
      </c>
      <c r="H216" s="3" t="s">
        <v>108</v>
      </c>
      <c r="I216" s="3" t="s">
        <v>12</v>
      </c>
      <c r="J216" s="3">
        <v>3</v>
      </c>
      <c r="K216" s="5">
        <v>26000</v>
      </c>
      <c r="L216" s="6">
        <v>0</v>
      </c>
      <c r="M216" s="5">
        <v>78000</v>
      </c>
      <c r="N216" s="5">
        <v>15000</v>
      </c>
      <c r="O216" s="3" t="s">
        <v>13</v>
      </c>
      <c r="P216" s="3" t="s">
        <v>30</v>
      </c>
    </row>
    <row r="217" spans="1:16" x14ac:dyDescent="0.25">
      <c r="A217" s="3">
        <v>100216</v>
      </c>
      <c r="B217" s="4">
        <v>46161</v>
      </c>
      <c r="C217" s="3" t="s">
        <v>15</v>
      </c>
      <c r="D217" s="3" t="s">
        <v>16</v>
      </c>
      <c r="E217" s="3" t="s">
        <v>27</v>
      </c>
      <c r="F217" s="3" t="s">
        <v>34</v>
      </c>
      <c r="G217" s="3" t="s">
        <v>35</v>
      </c>
      <c r="H217" s="3" t="s">
        <v>147</v>
      </c>
      <c r="I217" s="3" t="s">
        <v>12</v>
      </c>
      <c r="J217" s="3">
        <v>4</v>
      </c>
      <c r="K217" s="5">
        <v>6500</v>
      </c>
      <c r="L217" s="6">
        <v>0</v>
      </c>
      <c r="M217" s="5">
        <v>26000</v>
      </c>
      <c r="N217" s="5">
        <v>2200</v>
      </c>
      <c r="O217" s="3" t="s">
        <v>13</v>
      </c>
      <c r="P217" s="3" t="s">
        <v>14</v>
      </c>
    </row>
    <row r="218" spans="1:16" x14ac:dyDescent="0.25">
      <c r="A218" s="3">
        <v>100217</v>
      </c>
      <c r="B218" s="4">
        <v>46198</v>
      </c>
      <c r="C218" s="3" t="s">
        <v>32</v>
      </c>
      <c r="D218" s="3" t="s">
        <v>16</v>
      </c>
      <c r="E218" s="3" t="s">
        <v>27</v>
      </c>
      <c r="F218" s="3" t="s">
        <v>9</v>
      </c>
      <c r="G218" s="3" t="s">
        <v>52</v>
      </c>
      <c r="H218" s="3" t="s">
        <v>180</v>
      </c>
      <c r="I218" s="3" t="s">
        <v>20</v>
      </c>
      <c r="J218" s="3">
        <v>2</v>
      </c>
      <c r="K218" s="5">
        <v>24000</v>
      </c>
      <c r="L218" s="6">
        <v>0.05</v>
      </c>
      <c r="M218" s="5">
        <v>45600</v>
      </c>
      <c r="N218" s="5">
        <v>15000</v>
      </c>
      <c r="O218" s="3" t="s">
        <v>13</v>
      </c>
      <c r="P218" s="3" t="s">
        <v>44</v>
      </c>
    </row>
    <row r="219" spans="1:16" x14ac:dyDescent="0.25">
      <c r="A219" s="3">
        <v>100218</v>
      </c>
      <c r="B219" s="4">
        <v>46120</v>
      </c>
      <c r="C219" s="3" t="s">
        <v>32</v>
      </c>
      <c r="D219" s="3" t="s">
        <v>16</v>
      </c>
      <c r="E219" s="3" t="s">
        <v>8</v>
      </c>
      <c r="F219" s="3" t="s">
        <v>9</v>
      </c>
      <c r="G219" s="3" t="s">
        <v>10</v>
      </c>
      <c r="H219" s="3" t="s">
        <v>139</v>
      </c>
      <c r="I219" s="3" t="s">
        <v>12</v>
      </c>
      <c r="J219" s="3">
        <v>3</v>
      </c>
      <c r="K219" s="5">
        <v>58000</v>
      </c>
      <c r="L219" s="6">
        <v>0.05</v>
      </c>
      <c r="M219" s="5">
        <v>165300</v>
      </c>
      <c r="N219" s="5">
        <v>39000</v>
      </c>
      <c r="O219" s="3" t="s">
        <v>13</v>
      </c>
      <c r="P219" s="3" t="s">
        <v>44</v>
      </c>
    </row>
    <row r="220" spans="1:16" x14ac:dyDescent="0.25">
      <c r="A220" s="3">
        <v>100219</v>
      </c>
      <c r="B220" s="4">
        <v>46253</v>
      </c>
      <c r="C220" s="3" t="s">
        <v>45</v>
      </c>
      <c r="D220" s="3" t="s">
        <v>46</v>
      </c>
      <c r="E220" s="3" t="s">
        <v>33</v>
      </c>
      <c r="F220" s="3" t="s">
        <v>9</v>
      </c>
      <c r="G220" s="3" t="s">
        <v>10</v>
      </c>
      <c r="H220" s="3" t="s">
        <v>181</v>
      </c>
      <c r="I220" s="3" t="s">
        <v>20</v>
      </c>
      <c r="J220" s="3">
        <v>5</v>
      </c>
      <c r="K220" s="5">
        <v>58000</v>
      </c>
      <c r="L220" s="6">
        <v>0.15</v>
      </c>
      <c r="M220" s="5">
        <v>246500</v>
      </c>
      <c r="N220" s="5">
        <v>39000</v>
      </c>
      <c r="O220" s="3" t="s">
        <v>13</v>
      </c>
      <c r="P220" s="3" t="s">
        <v>30</v>
      </c>
    </row>
    <row r="221" spans="1:16" x14ac:dyDescent="0.25">
      <c r="A221" s="3">
        <v>100220</v>
      </c>
      <c r="B221" s="4">
        <v>46024</v>
      </c>
      <c r="C221" s="3" t="s">
        <v>25</v>
      </c>
      <c r="D221" s="3" t="s">
        <v>26</v>
      </c>
      <c r="E221" s="3" t="s">
        <v>8</v>
      </c>
      <c r="F221" s="3" t="s">
        <v>17</v>
      </c>
      <c r="G221" s="3" t="s">
        <v>28</v>
      </c>
      <c r="H221" s="3" t="s">
        <v>114</v>
      </c>
      <c r="I221" s="3" t="s">
        <v>20</v>
      </c>
      <c r="J221" s="3">
        <v>2</v>
      </c>
      <c r="K221" s="5">
        <v>26000</v>
      </c>
      <c r="L221" s="6">
        <v>0</v>
      </c>
      <c r="M221" s="5">
        <v>52000</v>
      </c>
      <c r="N221" s="5">
        <v>15000</v>
      </c>
      <c r="O221" s="3" t="s">
        <v>13</v>
      </c>
      <c r="P221" s="3" t="s">
        <v>14</v>
      </c>
    </row>
    <row r="222" spans="1:16" x14ac:dyDescent="0.25">
      <c r="A222" s="3">
        <v>100221</v>
      </c>
      <c r="B222" s="4">
        <v>46111</v>
      </c>
      <c r="C222" s="3" t="s">
        <v>40</v>
      </c>
      <c r="D222" s="3" t="s">
        <v>41</v>
      </c>
      <c r="E222" s="3" t="s">
        <v>33</v>
      </c>
      <c r="F222" s="3" t="s">
        <v>34</v>
      </c>
      <c r="G222" s="3" t="s">
        <v>55</v>
      </c>
      <c r="H222" s="3" t="s">
        <v>149</v>
      </c>
      <c r="I222" s="3" t="s">
        <v>20</v>
      </c>
      <c r="J222" s="3">
        <v>3</v>
      </c>
      <c r="K222" s="5">
        <v>28000</v>
      </c>
      <c r="L222" s="6">
        <v>0.1</v>
      </c>
      <c r="M222" s="5">
        <v>75600</v>
      </c>
      <c r="N222" s="5">
        <v>16000</v>
      </c>
      <c r="O222" s="3" t="s">
        <v>13</v>
      </c>
      <c r="P222" s="3" t="s">
        <v>44</v>
      </c>
    </row>
    <row r="223" spans="1:16" x14ac:dyDescent="0.25">
      <c r="A223" s="3">
        <v>100222</v>
      </c>
      <c r="B223" s="4">
        <v>46255</v>
      </c>
      <c r="C223" s="3" t="s">
        <v>6</v>
      </c>
      <c r="D223" s="3" t="s">
        <v>7</v>
      </c>
      <c r="E223" s="3" t="s">
        <v>8</v>
      </c>
      <c r="F223" s="3" t="s">
        <v>9</v>
      </c>
      <c r="G223" s="3" t="s">
        <v>10</v>
      </c>
      <c r="H223" s="3" t="s">
        <v>182</v>
      </c>
      <c r="I223" s="3" t="s">
        <v>12</v>
      </c>
      <c r="J223" s="3">
        <v>3</v>
      </c>
      <c r="K223" s="5">
        <v>58000</v>
      </c>
      <c r="L223" s="6">
        <v>0.25</v>
      </c>
      <c r="M223" s="5">
        <v>130500</v>
      </c>
      <c r="N223" s="3"/>
      <c r="O223" s="3" t="s">
        <v>66</v>
      </c>
      <c r="P223" s="3" t="s">
        <v>54</v>
      </c>
    </row>
    <row r="224" spans="1:16" x14ac:dyDescent="0.25">
      <c r="A224" s="3">
        <v>100223</v>
      </c>
      <c r="B224" s="4">
        <v>46165</v>
      </c>
      <c r="C224" s="3" t="s">
        <v>45</v>
      </c>
      <c r="D224" s="3" t="s">
        <v>46</v>
      </c>
      <c r="E224" s="3" t="s">
        <v>8</v>
      </c>
      <c r="F224" s="3" t="s">
        <v>9</v>
      </c>
      <c r="G224" s="3" t="s">
        <v>42</v>
      </c>
      <c r="H224" s="3" t="s">
        <v>183</v>
      </c>
      <c r="I224" s="3" t="s">
        <v>20</v>
      </c>
      <c r="J224" s="3">
        <v>3</v>
      </c>
      <c r="K224" s="5">
        <v>42000</v>
      </c>
      <c r="L224" s="6">
        <v>0.15</v>
      </c>
      <c r="M224" s="5">
        <v>107100</v>
      </c>
      <c r="N224" s="5">
        <v>28000</v>
      </c>
      <c r="O224" s="3" t="s">
        <v>13</v>
      </c>
      <c r="P224" s="3" t="s">
        <v>48</v>
      </c>
    </row>
    <row r="225" spans="1:16" x14ac:dyDescent="0.25">
      <c r="A225" s="3">
        <v>100224</v>
      </c>
      <c r="B225" s="4">
        <v>46149</v>
      </c>
      <c r="C225" s="3" t="s">
        <v>32</v>
      </c>
      <c r="D225" s="3" t="s">
        <v>16</v>
      </c>
      <c r="E225" s="3" t="s">
        <v>27</v>
      </c>
      <c r="F225" s="3" t="s">
        <v>17</v>
      </c>
      <c r="G225" s="3" t="s">
        <v>23</v>
      </c>
      <c r="H225" s="3" t="s">
        <v>165</v>
      </c>
      <c r="I225" s="3" t="s">
        <v>20</v>
      </c>
      <c r="J225" s="3">
        <v>1</v>
      </c>
      <c r="K225" s="5">
        <v>32000</v>
      </c>
      <c r="L225" s="6">
        <v>0.1</v>
      </c>
      <c r="M225" s="5">
        <v>28800</v>
      </c>
      <c r="N225" s="5">
        <v>19000</v>
      </c>
      <c r="O225" s="3" t="s">
        <v>13</v>
      </c>
      <c r="P225" s="3" t="s">
        <v>30</v>
      </c>
    </row>
    <row r="226" spans="1:16" x14ac:dyDescent="0.25">
      <c r="A226" s="3">
        <v>100225</v>
      </c>
      <c r="B226" s="4">
        <v>46079</v>
      </c>
      <c r="C226" s="3" t="s">
        <v>25</v>
      </c>
      <c r="D226" s="3" t="s">
        <v>26</v>
      </c>
      <c r="E226" s="3" t="s">
        <v>27</v>
      </c>
      <c r="F226" s="3" t="s">
        <v>9</v>
      </c>
      <c r="G226" s="3" t="s">
        <v>52</v>
      </c>
      <c r="H226" s="3" t="s">
        <v>184</v>
      </c>
      <c r="I226" s="3" t="s">
        <v>12</v>
      </c>
      <c r="J226" s="3">
        <v>1</v>
      </c>
      <c r="K226" s="5">
        <v>24000</v>
      </c>
      <c r="L226" s="6">
        <v>0.05</v>
      </c>
      <c r="M226" s="5">
        <v>22800</v>
      </c>
      <c r="N226" s="5">
        <v>15000</v>
      </c>
      <c r="O226" s="3" t="s">
        <v>13</v>
      </c>
      <c r="P226" s="3" t="s">
        <v>21</v>
      </c>
    </row>
    <row r="227" spans="1:16" x14ac:dyDescent="0.25">
      <c r="A227" s="3">
        <v>100226</v>
      </c>
      <c r="B227" s="4">
        <v>46054</v>
      </c>
      <c r="C227" s="3" t="s">
        <v>40</v>
      </c>
      <c r="D227" s="3" t="s">
        <v>41</v>
      </c>
      <c r="E227" s="3" t="s">
        <v>33</v>
      </c>
      <c r="F227" s="3" t="s">
        <v>9</v>
      </c>
      <c r="G227" s="3" t="s">
        <v>52</v>
      </c>
      <c r="H227" s="3" t="s">
        <v>107</v>
      </c>
      <c r="I227" s="3" t="s">
        <v>20</v>
      </c>
      <c r="J227" s="3">
        <v>1</v>
      </c>
      <c r="K227" s="5">
        <v>24000</v>
      </c>
      <c r="L227" s="6">
        <v>0.05</v>
      </c>
      <c r="M227" s="5">
        <v>22800</v>
      </c>
      <c r="N227" s="5">
        <v>15000</v>
      </c>
      <c r="O227" s="3" t="s">
        <v>13</v>
      </c>
      <c r="P227" s="3" t="s">
        <v>44</v>
      </c>
    </row>
    <row r="228" spans="1:16" x14ac:dyDescent="0.25">
      <c r="A228" s="3">
        <v>100227</v>
      </c>
      <c r="B228" s="4">
        <v>46114</v>
      </c>
      <c r="C228" s="3" t="s">
        <v>45</v>
      </c>
      <c r="D228" s="3" t="s">
        <v>46</v>
      </c>
      <c r="E228" s="3" t="s">
        <v>33</v>
      </c>
      <c r="F228" s="3" t="s">
        <v>9</v>
      </c>
      <c r="G228" s="3" t="s">
        <v>10</v>
      </c>
      <c r="H228" s="3" t="s">
        <v>185</v>
      </c>
      <c r="I228" s="3" t="s">
        <v>20</v>
      </c>
      <c r="J228" s="3">
        <v>2</v>
      </c>
      <c r="K228" s="5">
        <v>58000</v>
      </c>
      <c r="L228" s="6">
        <v>0</v>
      </c>
      <c r="M228" s="5">
        <v>116000</v>
      </c>
      <c r="N228" s="5">
        <v>39000</v>
      </c>
      <c r="O228" s="3" t="s">
        <v>13</v>
      </c>
      <c r="P228" s="3" t="s">
        <v>74</v>
      </c>
    </row>
    <row r="229" spans="1:16" x14ac:dyDescent="0.25">
      <c r="A229" s="3">
        <v>100228</v>
      </c>
      <c r="B229" s="4">
        <v>46099</v>
      </c>
      <c r="C229" s="3" t="s">
        <v>15</v>
      </c>
      <c r="D229" s="3" t="s">
        <v>16</v>
      </c>
      <c r="E229" s="3" t="s">
        <v>33</v>
      </c>
      <c r="F229" s="3" t="s">
        <v>17</v>
      </c>
      <c r="G229" s="3" t="s">
        <v>23</v>
      </c>
      <c r="H229" s="3" t="s">
        <v>49</v>
      </c>
      <c r="I229" s="3" t="s">
        <v>12</v>
      </c>
      <c r="J229" s="3">
        <v>3</v>
      </c>
      <c r="K229" s="5">
        <v>32000</v>
      </c>
      <c r="L229" s="6">
        <v>0.15</v>
      </c>
      <c r="M229" s="5">
        <v>81600</v>
      </c>
      <c r="N229" s="5">
        <v>19000</v>
      </c>
      <c r="O229" s="3" t="s">
        <v>13</v>
      </c>
      <c r="P229" s="3" t="s">
        <v>14</v>
      </c>
    </row>
    <row r="230" spans="1:16" x14ac:dyDescent="0.25">
      <c r="A230" s="3">
        <v>100229</v>
      </c>
      <c r="B230" s="4">
        <v>46212</v>
      </c>
      <c r="C230" s="3" t="s">
        <v>25</v>
      </c>
      <c r="D230" s="3" t="s">
        <v>26</v>
      </c>
      <c r="E230" s="3" t="s">
        <v>27</v>
      </c>
      <c r="F230" s="3" t="s">
        <v>9</v>
      </c>
      <c r="G230" s="3" t="s">
        <v>10</v>
      </c>
      <c r="H230" s="3" t="s">
        <v>184</v>
      </c>
      <c r="I230" s="3" t="s">
        <v>20</v>
      </c>
      <c r="J230" s="3">
        <v>1</v>
      </c>
      <c r="K230" s="5">
        <v>58000</v>
      </c>
      <c r="L230" s="6">
        <v>0.1</v>
      </c>
      <c r="M230" s="5">
        <v>52200</v>
      </c>
      <c r="N230" s="5">
        <v>39000</v>
      </c>
      <c r="O230" s="3" t="s">
        <v>13</v>
      </c>
      <c r="P230" s="3" t="s">
        <v>14</v>
      </c>
    </row>
    <row r="231" spans="1:16" x14ac:dyDescent="0.25">
      <c r="A231" s="3">
        <v>100230</v>
      </c>
      <c r="B231" s="4">
        <v>46141</v>
      </c>
      <c r="C231" s="3" t="s">
        <v>25</v>
      </c>
      <c r="D231" s="3" t="s">
        <v>26</v>
      </c>
      <c r="E231" s="3" t="s">
        <v>33</v>
      </c>
      <c r="F231" s="3" t="s">
        <v>17</v>
      </c>
      <c r="G231" s="3" t="s">
        <v>28</v>
      </c>
      <c r="H231" s="3" t="s">
        <v>99</v>
      </c>
      <c r="I231" s="3" t="s">
        <v>20</v>
      </c>
      <c r="J231" s="3">
        <v>3</v>
      </c>
      <c r="K231" s="5">
        <v>26000</v>
      </c>
      <c r="L231" s="6">
        <v>0.15</v>
      </c>
      <c r="M231" s="5">
        <v>66300</v>
      </c>
      <c r="N231" s="5">
        <v>15000</v>
      </c>
      <c r="O231" s="3" t="s">
        <v>13</v>
      </c>
      <c r="P231" s="3" t="s">
        <v>74</v>
      </c>
    </row>
    <row r="232" spans="1:16" x14ac:dyDescent="0.25">
      <c r="A232" s="3">
        <v>100231</v>
      </c>
      <c r="B232" s="4">
        <v>46109</v>
      </c>
      <c r="C232" s="3" t="s">
        <v>22</v>
      </c>
      <c r="D232" s="3" t="s">
        <v>7</v>
      </c>
      <c r="E232" s="3" t="s">
        <v>8</v>
      </c>
      <c r="F232" s="3" t="s">
        <v>17</v>
      </c>
      <c r="G232" s="3" t="s">
        <v>18</v>
      </c>
      <c r="H232" s="3" t="s">
        <v>186</v>
      </c>
      <c r="I232" s="3" t="s">
        <v>20</v>
      </c>
      <c r="J232" s="3">
        <v>1</v>
      </c>
      <c r="K232" s="5">
        <v>165000</v>
      </c>
      <c r="L232" s="6">
        <v>0.2</v>
      </c>
      <c r="M232" s="5">
        <v>132000</v>
      </c>
      <c r="N232" s="5">
        <v>112000</v>
      </c>
      <c r="O232" s="3" t="s">
        <v>13</v>
      </c>
      <c r="P232" s="3" t="s">
        <v>30</v>
      </c>
    </row>
    <row r="233" spans="1:16" x14ac:dyDescent="0.25">
      <c r="A233" s="3">
        <v>100232</v>
      </c>
      <c r="B233" s="4">
        <v>46237</v>
      </c>
      <c r="C233" s="3" t="s">
        <v>15</v>
      </c>
      <c r="D233" s="3" t="s">
        <v>16</v>
      </c>
      <c r="E233" s="3" t="s">
        <v>33</v>
      </c>
      <c r="F233" s="3" t="s">
        <v>17</v>
      </c>
      <c r="G233" s="3" t="s">
        <v>18</v>
      </c>
      <c r="H233" s="3" t="s">
        <v>49</v>
      </c>
      <c r="I233" s="3" t="s">
        <v>12</v>
      </c>
      <c r="J233" s="3">
        <v>1</v>
      </c>
      <c r="K233" s="5">
        <v>165000</v>
      </c>
      <c r="L233" s="6">
        <v>0.1</v>
      </c>
      <c r="M233" s="5">
        <v>148500</v>
      </c>
      <c r="N233" s="5">
        <v>112000</v>
      </c>
      <c r="O233" s="3" t="s">
        <v>66</v>
      </c>
      <c r="P233" s="3" t="s">
        <v>48</v>
      </c>
    </row>
    <row r="234" spans="1:16" x14ac:dyDescent="0.25">
      <c r="A234" s="3">
        <v>100233</v>
      </c>
      <c r="B234" s="4">
        <v>46030</v>
      </c>
      <c r="C234" s="3" t="s">
        <v>40</v>
      </c>
      <c r="D234" s="3" t="s">
        <v>41</v>
      </c>
      <c r="E234" s="3" t="s">
        <v>33</v>
      </c>
      <c r="F234" s="3" t="s">
        <v>34</v>
      </c>
      <c r="G234" s="3" t="s">
        <v>50</v>
      </c>
      <c r="H234" s="3" t="s">
        <v>120</v>
      </c>
      <c r="I234" s="3" t="s">
        <v>20</v>
      </c>
      <c r="J234" s="3">
        <v>3</v>
      </c>
      <c r="K234" s="5">
        <v>9000</v>
      </c>
      <c r="L234" s="6">
        <v>0.15</v>
      </c>
      <c r="M234" s="5">
        <v>27540</v>
      </c>
      <c r="N234" s="5">
        <v>3500</v>
      </c>
      <c r="O234" s="3" t="s">
        <v>13</v>
      </c>
      <c r="P234" s="3" t="s">
        <v>48</v>
      </c>
    </row>
    <row r="235" spans="1:16" x14ac:dyDescent="0.25">
      <c r="A235" s="3">
        <v>100234</v>
      </c>
      <c r="B235" s="4">
        <v>46043</v>
      </c>
      <c r="C235" s="3" t="s">
        <v>25</v>
      </c>
      <c r="D235" s="3" t="s">
        <v>26</v>
      </c>
      <c r="E235" s="3" t="s">
        <v>27</v>
      </c>
      <c r="F235" s="3" t="s">
        <v>34</v>
      </c>
      <c r="G235" s="3" t="s">
        <v>50</v>
      </c>
      <c r="H235" s="3" t="s">
        <v>138</v>
      </c>
      <c r="I235" s="3" t="s">
        <v>12</v>
      </c>
      <c r="J235" s="3">
        <v>2</v>
      </c>
      <c r="K235" s="5">
        <v>9000</v>
      </c>
      <c r="L235" s="6">
        <v>0.1</v>
      </c>
      <c r="M235" s="5">
        <v>16200</v>
      </c>
      <c r="N235" s="5">
        <v>3500</v>
      </c>
      <c r="O235" s="3" t="s">
        <v>13</v>
      </c>
      <c r="P235" s="3" t="s">
        <v>37</v>
      </c>
    </row>
    <row r="236" spans="1:16" x14ac:dyDescent="0.25">
      <c r="A236" s="3">
        <v>100235</v>
      </c>
      <c r="B236" s="4">
        <v>46164</v>
      </c>
      <c r="C236" s="3" t="s">
        <v>40</v>
      </c>
      <c r="D236" s="3" t="s">
        <v>41</v>
      </c>
      <c r="E236" s="3" t="s">
        <v>8</v>
      </c>
      <c r="F236" s="3" t="s">
        <v>9</v>
      </c>
      <c r="G236" s="3" t="s">
        <v>52</v>
      </c>
      <c r="H236" s="3" t="s">
        <v>187</v>
      </c>
      <c r="I236" s="3" t="s">
        <v>12</v>
      </c>
      <c r="J236" s="3">
        <v>2</v>
      </c>
      <c r="K236" s="5">
        <v>24000</v>
      </c>
      <c r="L236" s="6">
        <v>0.1</v>
      </c>
      <c r="M236" s="5">
        <v>38880</v>
      </c>
      <c r="N236" s="5">
        <v>15000</v>
      </c>
      <c r="O236" s="3" t="s">
        <v>13</v>
      </c>
      <c r="P236" s="3" t="s">
        <v>74</v>
      </c>
    </row>
    <row r="237" spans="1:16" x14ac:dyDescent="0.25">
      <c r="A237" s="3">
        <v>100236</v>
      </c>
      <c r="B237" s="4">
        <v>46091</v>
      </c>
      <c r="C237" s="3" t="s">
        <v>25</v>
      </c>
      <c r="D237" s="3" t="s">
        <v>26</v>
      </c>
      <c r="E237" s="3" t="s">
        <v>33</v>
      </c>
      <c r="F237" s="3" t="s">
        <v>34</v>
      </c>
      <c r="G237" s="3" t="s">
        <v>35</v>
      </c>
      <c r="H237" s="3" t="s">
        <v>135</v>
      </c>
      <c r="I237" s="3" t="s">
        <v>20</v>
      </c>
      <c r="J237" s="3">
        <v>3</v>
      </c>
      <c r="K237" s="5">
        <v>6500</v>
      </c>
      <c r="L237" s="6">
        <v>0.1</v>
      </c>
      <c r="M237" s="5">
        <v>17550</v>
      </c>
      <c r="N237" s="5">
        <v>2200</v>
      </c>
      <c r="O237" s="3" t="s">
        <v>13</v>
      </c>
      <c r="P237" s="3" t="s">
        <v>30</v>
      </c>
    </row>
    <row r="238" spans="1:16" x14ac:dyDescent="0.25">
      <c r="A238" s="3">
        <v>100237</v>
      </c>
      <c r="B238" s="4">
        <v>46186</v>
      </c>
      <c r="C238" s="3" t="s">
        <v>15</v>
      </c>
      <c r="D238" s="3" t="s">
        <v>16</v>
      </c>
      <c r="E238" s="3" t="s">
        <v>33</v>
      </c>
      <c r="F238" s="3" t="s">
        <v>17</v>
      </c>
      <c r="G238" s="3" t="s">
        <v>28</v>
      </c>
      <c r="H238" s="3" t="s">
        <v>188</v>
      </c>
      <c r="I238" s="3" t="s">
        <v>12</v>
      </c>
      <c r="J238" s="3">
        <v>4</v>
      </c>
      <c r="K238" s="5">
        <v>26000</v>
      </c>
      <c r="L238" s="6">
        <v>0.1</v>
      </c>
      <c r="M238" s="5">
        <v>93600</v>
      </c>
      <c r="N238" s="5">
        <v>15000</v>
      </c>
      <c r="O238" s="3" t="s">
        <v>13</v>
      </c>
      <c r="P238" s="3" t="s">
        <v>54</v>
      </c>
    </row>
    <row r="239" spans="1:16" x14ac:dyDescent="0.25">
      <c r="A239" s="3">
        <v>100238</v>
      </c>
      <c r="B239" s="4">
        <v>46033</v>
      </c>
      <c r="C239" s="3" t="s">
        <v>45</v>
      </c>
      <c r="D239" s="3" t="s">
        <v>46</v>
      </c>
      <c r="E239" s="3" t="s">
        <v>27</v>
      </c>
      <c r="F239" s="3" t="s">
        <v>9</v>
      </c>
      <c r="G239" s="3" t="s">
        <v>52</v>
      </c>
      <c r="H239" s="3" t="s">
        <v>189</v>
      </c>
      <c r="I239" s="3" t="s">
        <v>12</v>
      </c>
      <c r="J239" s="3">
        <v>2</v>
      </c>
      <c r="K239" s="5">
        <v>24000</v>
      </c>
      <c r="L239" s="6">
        <v>0</v>
      </c>
      <c r="M239" s="5">
        <v>48000</v>
      </c>
      <c r="N239" s="5">
        <v>15000</v>
      </c>
      <c r="O239" s="3" t="s">
        <v>13</v>
      </c>
      <c r="P239" s="3" t="s">
        <v>37</v>
      </c>
    </row>
    <row r="240" spans="1:16" x14ac:dyDescent="0.25">
      <c r="A240" s="3">
        <v>100239</v>
      </c>
      <c r="B240" s="4">
        <v>46187</v>
      </c>
      <c r="C240" s="3" t="s">
        <v>45</v>
      </c>
      <c r="D240" s="3" t="s">
        <v>46</v>
      </c>
      <c r="E240" s="3" t="s">
        <v>8</v>
      </c>
      <c r="F240" s="3" t="s">
        <v>17</v>
      </c>
      <c r="G240" s="3" t="s">
        <v>18</v>
      </c>
      <c r="H240" s="3" t="s">
        <v>190</v>
      </c>
      <c r="I240" s="3" t="s">
        <v>20</v>
      </c>
      <c r="J240" s="3">
        <v>1</v>
      </c>
      <c r="K240" s="5">
        <v>165000</v>
      </c>
      <c r="L240" s="6">
        <v>0.15</v>
      </c>
      <c r="M240" s="5">
        <v>140250</v>
      </c>
      <c r="N240" s="5">
        <v>112000</v>
      </c>
      <c r="O240" s="3" t="s">
        <v>13</v>
      </c>
      <c r="P240" s="3" t="s">
        <v>14</v>
      </c>
    </row>
    <row r="241" spans="1:16" x14ac:dyDescent="0.25">
      <c r="A241" s="3">
        <v>100240</v>
      </c>
      <c r="B241" s="4">
        <v>46038</v>
      </c>
      <c r="C241" s="3" t="s">
        <v>15</v>
      </c>
      <c r="D241" s="3" t="s">
        <v>16</v>
      </c>
      <c r="E241" s="3" t="s">
        <v>27</v>
      </c>
      <c r="F241" s="3" t="s">
        <v>17</v>
      </c>
      <c r="G241" s="3" t="s">
        <v>28</v>
      </c>
      <c r="H241" s="3" t="s">
        <v>70</v>
      </c>
      <c r="I241" s="3" t="s">
        <v>12</v>
      </c>
      <c r="J241" s="3">
        <v>3</v>
      </c>
      <c r="K241" s="5">
        <v>26000</v>
      </c>
      <c r="L241" s="6">
        <v>0.15</v>
      </c>
      <c r="M241" s="5">
        <v>66300</v>
      </c>
      <c r="N241" s="5">
        <v>15000</v>
      </c>
      <c r="O241" s="3" t="s">
        <v>13</v>
      </c>
      <c r="P241" s="3" t="s">
        <v>14</v>
      </c>
    </row>
    <row r="242" spans="1:16" x14ac:dyDescent="0.25">
      <c r="A242" s="3">
        <v>100241</v>
      </c>
      <c r="B242" s="4">
        <v>46084</v>
      </c>
      <c r="C242" s="3" t="s">
        <v>32</v>
      </c>
      <c r="D242" s="3" t="s">
        <v>16</v>
      </c>
      <c r="E242" s="3" t="s">
        <v>27</v>
      </c>
      <c r="F242" s="3" t="s">
        <v>34</v>
      </c>
      <c r="G242" s="3" t="s">
        <v>35</v>
      </c>
      <c r="H242" s="3" t="s">
        <v>166</v>
      </c>
      <c r="I242" s="3" t="s">
        <v>20</v>
      </c>
      <c r="J242" s="3">
        <v>4</v>
      </c>
      <c r="K242" s="5">
        <v>6500</v>
      </c>
      <c r="L242" s="6">
        <v>0.1</v>
      </c>
      <c r="M242" s="5">
        <v>23400</v>
      </c>
      <c r="N242" s="5">
        <v>2200</v>
      </c>
      <c r="O242" s="3" t="s">
        <v>13</v>
      </c>
      <c r="P242" s="3" t="s">
        <v>30</v>
      </c>
    </row>
    <row r="243" spans="1:16" x14ac:dyDescent="0.25">
      <c r="A243" s="3">
        <v>100242</v>
      </c>
      <c r="B243" s="4">
        <v>46090</v>
      </c>
      <c r="C243" s="3" t="s">
        <v>25</v>
      </c>
      <c r="D243" s="3" t="s">
        <v>26</v>
      </c>
      <c r="E243" s="3" t="s">
        <v>33</v>
      </c>
      <c r="F243" s="3" t="s">
        <v>9</v>
      </c>
      <c r="G243" s="3" t="s">
        <v>52</v>
      </c>
      <c r="H243" s="3" t="s">
        <v>191</v>
      </c>
      <c r="I243" s="3" t="s">
        <v>12</v>
      </c>
      <c r="J243" s="3">
        <v>2</v>
      </c>
      <c r="K243" s="5">
        <v>24000</v>
      </c>
      <c r="L243" s="6">
        <v>0.1</v>
      </c>
      <c r="M243" s="5">
        <v>43200</v>
      </c>
      <c r="N243" s="5">
        <v>15000</v>
      </c>
      <c r="O243" s="3" t="s">
        <v>66</v>
      </c>
      <c r="P243" s="3" t="s">
        <v>21</v>
      </c>
    </row>
    <row r="244" spans="1:16" x14ac:dyDescent="0.25">
      <c r="A244" s="3">
        <v>100243</v>
      </c>
      <c r="B244" s="4">
        <v>46219</v>
      </c>
      <c r="C244" s="3" t="s">
        <v>15</v>
      </c>
      <c r="D244" s="3" t="s">
        <v>16</v>
      </c>
      <c r="E244" s="3" t="s">
        <v>27</v>
      </c>
      <c r="F244" s="3" t="s">
        <v>9</v>
      </c>
      <c r="G244" s="3" t="s">
        <v>52</v>
      </c>
      <c r="H244" s="3" t="s">
        <v>165</v>
      </c>
      <c r="I244" s="3" t="s">
        <v>12</v>
      </c>
      <c r="J244" s="3">
        <v>5</v>
      </c>
      <c r="K244" s="5">
        <v>24000</v>
      </c>
      <c r="L244" s="6">
        <v>0.1</v>
      </c>
      <c r="M244" s="5">
        <v>108000</v>
      </c>
      <c r="N244" s="5">
        <v>15000</v>
      </c>
      <c r="O244" s="3" t="s">
        <v>13</v>
      </c>
      <c r="P244" s="3" t="s">
        <v>44</v>
      </c>
    </row>
    <row r="245" spans="1:16" x14ac:dyDescent="0.25">
      <c r="A245" s="3">
        <v>100244</v>
      </c>
      <c r="B245" s="4">
        <v>46051</v>
      </c>
      <c r="C245" s="3" t="s">
        <v>25</v>
      </c>
      <c r="D245" s="3" t="s">
        <v>26</v>
      </c>
      <c r="E245" s="3" t="s">
        <v>8</v>
      </c>
      <c r="F245" s="3" t="s">
        <v>17</v>
      </c>
      <c r="G245" s="3" t="s">
        <v>28</v>
      </c>
      <c r="H245" s="3" t="s">
        <v>192</v>
      </c>
      <c r="I245" s="3" t="s">
        <v>20</v>
      </c>
      <c r="J245" s="3">
        <v>3</v>
      </c>
      <c r="K245" s="5">
        <v>26000</v>
      </c>
      <c r="L245" s="6">
        <v>0.05</v>
      </c>
      <c r="M245" s="5">
        <v>74100</v>
      </c>
      <c r="N245" s="5">
        <v>15000</v>
      </c>
      <c r="O245" s="3" t="s">
        <v>13</v>
      </c>
      <c r="P245" s="3" t="s">
        <v>21</v>
      </c>
    </row>
    <row r="246" spans="1:16" x14ac:dyDescent="0.25">
      <c r="A246" s="3">
        <v>100245</v>
      </c>
      <c r="B246" s="4">
        <v>46199</v>
      </c>
      <c r="C246" s="3" t="s">
        <v>32</v>
      </c>
      <c r="D246" s="3" t="s">
        <v>16</v>
      </c>
      <c r="E246" s="3" t="s">
        <v>27</v>
      </c>
      <c r="F246" s="3" t="s">
        <v>34</v>
      </c>
      <c r="G246" s="3" t="s">
        <v>55</v>
      </c>
      <c r="H246" s="3" t="s">
        <v>72</v>
      </c>
      <c r="I246" s="3" t="s">
        <v>12</v>
      </c>
      <c r="J246" s="3">
        <v>1</v>
      </c>
      <c r="K246" s="5">
        <v>28000</v>
      </c>
      <c r="L246" s="6">
        <v>0.15</v>
      </c>
      <c r="M246" s="5">
        <v>23800</v>
      </c>
      <c r="N246" s="5">
        <v>16000</v>
      </c>
      <c r="O246" s="3" t="s">
        <v>13</v>
      </c>
      <c r="P246" s="3" t="s">
        <v>37</v>
      </c>
    </row>
    <row r="247" spans="1:16" x14ac:dyDescent="0.25">
      <c r="A247" s="3">
        <v>100246</v>
      </c>
      <c r="B247" s="4">
        <v>46231</v>
      </c>
      <c r="C247" s="3" t="s">
        <v>25</v>
      </c>
      <c r="D247" s="3" t="s">
        <v>26</v>
      </c>
      <c r="E247" s="3" t="s">
        <v>33</v>
      </c>
      <c r="F247" s="3" t="s">
        <v>17</v>
      </c>
      <c r="G247" s="3" t="s">
        <v>18</v>
      </c>
      <c r="H247" s="3" t="s">
        <v>102</v>
      </c>
      <c r="I247" s="3" t="s">
        <v>12</v>
      </c>
      <c r="J247" s="3">
        <v>1</v>
      </c>
      <c r="K247" s="5">
        <v>165000</v>
      </c>
      <c r="L247" s="6">
        <v>0.05</v>
      </c>
      <c r="M247" s="5">
        <v>156750</v>
      </c>
      <c r="N247" s="5">
        <v>112000</v>
      </c>
      <c r="O247" s="3" t="s">
        <v>13</v>
      </c>
      <c r="P247" s="3" t="s">
        <v>14</v>
      </c>
    </row>
    <row r="248" spans="1:16" x14ac:dyDescent="0.25">
      <c r="A248" s="3">
        <v>100247</v>
      </c>
      <c r="B248" s="4">
        <v>46237</v>
      </c>
      <c r="C248" s="3" t="s">
        <v>22</v>
      </c>
      <c r="D248" s="3" t="s">
        <v>7</v>
      </c>
      <c r="E248" s="3" t="s">
        <v>33</v>
      </c>
      <c r="F248" s="3" t="s">
        <v>9</v>
      </c>
      <c r="G248" s="3" t="s">
        <v>52</v>
      </c>
      <c r="H248" s="3" t="s">
        <v>82</v>
      </c>
      <c r="I248" s="3" t="s">
        <v>20</v>
      </c>
      <c r="J248" s="3">
        <v>2</v>
      </c>
      <c r="K248" s="5">
        <v>24000</v>
      </c>
      <c r="L248" s="6">
        <v>0.2</v>
      </c>
      <c r="M248" s="5">
        <v>38400</v>
      </c>
      <c r="N248" s="3"/>
      <c r="O248" s="3" t="s">
        <v>13</v>
      </c>
      <c r="P248" s="3" t="s">
        <v>30</v>
      </c>
    </row>
    <row r="249" spans="1:16" x14ac:dyDescent="0.25">
      <c r="A249" s="3">
        <v>100248</v>
      </c>
      <c r="B249" s="4">
        <v>46225</v>
      </c>
      <c r="C249" s="3" t="s">
        <v>15</v>
      </c>
      <c r="D249" s="3" t="s">
        <v>16</v>
      </c>
      <c r="E249" s="3" t="s">
        <v>33</v>
      </c>
      <c r="F249" s="3" t="s">
        <v>34</v>
      </c>
      <c r="G249" s="3" t="s">
        <v>35</v>
      </c>
      <c r="H249" s="3" t="s">
        <v>193</v>
      </c>
      <c r="I249" s="3" t="s">
        <v>20</v>
      </c>
      <c r="J249" s="3">
        <v>1</v>
      </c>
      <c r="K249" s="5">
        <v>6500</v>
      </c>
      <c r="L249" s="6">
        <v>0.05</v>
      </c>
      <c r="M249" s="5">
        <v>6175</v>
      </c>
      <c r="N249" s="5">
        <v>2200</v>
      </c>
      <c r="O249" s="3" t="s">
        <v>13</v>
      </c>
      <c r="P249" s="3" t="s">
        <v>54</v>
      </c>
    </row>
    <row r="250" spans="1:16" x14ac:dyDescent="0.25">
      <c r="A250" s="3">
        <v>100249</v>
      </c>
      <c r="B250" s="4">
        <v>46116</v>
      </c>
      <c r="C250" s="3" t="s">
        <v>25</v>
      </c>
      <c r="D250" s="3" t="s">
        <v>26</v>
      </c>
      <c r="E250" s="3" t="s">
        <v>27</v>
      </c>
      <c r="F250" s="3" t="s">
        <v>9</v>
      </c>
      <c r="G250" s="3" t="s">
        <v>42</v>
      </c>
      <c r="H250" s="3" t="s">
        <v>194</v>
      </c>
      <c r="I250" s="3" t="s">
        <v>12</v>
      </c>
      <c r="J250" s="3">
        <v>2</v>
      </c>
      <c r="K250" s="5">
        <v>42000</v>
      </c>
      <c r="L250" s="6">
        <v>0.1</v>
      </c>
      <c r="M250" s="5">
        <v>75600</v>
      </c>
      <c r="N250" s="5">
        <v>28000</v>
      </c>
      <c r="O250" s="3" t="s">
        <v>13</v>
      </c>
      <c r="P250" s="3" t="s">
        <v>37</v>
      </c>
    </row>
    <row r="251" spans="1:16" x14ac:dyDescent="0.25">
      <c r="A251" s="3">
        <v>100250</v>
      </c>
      <c r="B251" s="4">
        <v>46140</v>
      </c>
      <c r="C251" s="3" t="s">
        <v>40</v>
      </c>
      <c r="D251" s="3" t="s">
        <v>41</v>
      </c>
      <c r="E251" s="3" t="s">
        <v>33</v>
      </c>
      <c r="F251" s="3" t="s">
        <v>17</v>
      </c>
      <c r="G251" s="3" t="s">
        <v>18</v>
      </c>
      <c r="H251" s="3" t="s">
        <v>189</v>
      </c>
      <c r="I251" s="3" t="s">
        <v>12</v>
      </c>
      <c r="J251" s="3">
        <v>4</v>
      </c>
      <c r="K251" s="5">
        <v>165000</v>
      </c>
      <c r="L251" s="6">
        <v>0</v>
      </c>
      <c r="M251" s="5">
        <v>660000</v>
      </c>
      <c r="N251" s="5">
        <v>112000</v>
      </c>
      <c r="O251" s="3" t="s">
        <v>13</v>
      </c>
      <c r="P251" s="3" t="s">
        <v>37</v>
      </c>
    </row>
    <row r="252" spans="1:16" x14ac:dyDescent="0.25">
      <c r="A252" s="3">
        <v>100251</v>
      </c>
      <c r="B252" s="4">
        <v>46226</v>
      </c>
      <c r="C252" s="3" t="s">
        <v>15</v>
      </c>
      <c r="D252" s="3" t="s">
        <v>16</v>
      </c>
      <c r="E252" s="3" t="s">
        <v>33</v>
      </c>
      <c r="F252" s="3" t="s">
        <v>9</v>
      </c>
      <c r="G252" s="3" t="s">
        <v>42</v>
      </c>
      <c r="H252" s="3" t="s">
        <v>176</v>
      </c>
      <c r="I252" s="3" t="s">
        <v>20</v>
      </c>
      <c r="J252" s="3">
        <v>2</v>
      </c>
      <c r="K252" s="5">
        <v>42000</v>
      </c>
      <c r="L252" s="6">
        <v>0</v>
      </c>
      <c r="M252" s="5">
        <v>84000</v>
      </c>
      <c r="N252" s="5">
        <v>28000</v>
      </c>
      <c r="O252" s="3" t="s">
        <v>13</v>
      </c>
      <c r="P252" s="3" t="s">
        <v>37</v>
      </c>
    </row>
    <row r="253" spans="1:16" x14ac:dyDescent="0.25">
      <c r="A253" s="3">
        <v>100252</v>
      </c>
      <c r="B253" s="4">
        <v>46214</v>
      </c>
      <c r="C253" s="3" t="s">
        <v>25</v>
      </c>
      <c r="D253" s="3" t="s">
        <v>26</v>
      </c>
      <c r="E253" s="3" t="s">
        <v>33</v>
      </c>
      <c r="F253" s="3" t="s">
        <v>17</v>
      </c>
      <c r="G253" s="3" t="s">
        <v>28</v>
      </c>
      <c r="H253" s="3" t="s">
        <v>157</v>
      </c>
      <c r="I253" s="3" t="s">
        <v>20</v>
      </c>
      <c r="J253" s="3">
        <v>2</v>
      </c>
      <c r="K253" s="5">
        <v>26000</v>
      </c>
      <c r="L253" s="6">
        <v>0</v>
      </c>
      <c r="M253" s="5">
        <v>52000</v>
      </c>
      <c r="N253" s="5">
        <v>15000</v>
      </c>
      <c r="O253" s="3" t="s">
        <v>13</v>
      </c>
      <c r="P253" s="3" t="s">
        <v>48</v>
      </c>
    </row>
    <row r="254" spans="1:16" x14ac:dyDescent="0.25">
      <c r="A254" s="3">
        <v>100253</v>
      </c>
      <c r="B254" s="4">
        <v>46024</v>
      </c>
      <c r="C254" s="3" t="s">
        <v>45</v>
      </c>
      <c r="D254" s="3" t="s">
        <v>46</v>
      </c>
      <c r="E254" s="3" t="s">
        <v>8</v>
      </c>
      <c r="F254" s="3" t="s">
        <v>9</v>
      </c>
      <c r="G254" s="3" t="s">
        <v>10</v>
      </c>
      <c r="H254" s="3" t="s">
        <v>135</v>
      </c>
      <c r="I254" s="3" t="s">
        <v>20</v>
      </c>
      <c r="J254" s="3">
        <v>2</v>
      </c>
      <c r="K254" s="5">
        <v>58000</v>
      </c>
      <c r="L254" s="6">
        <v>0.05</v>
      </c>
      <c r="M254" s="5">
        <v>110200</v>
      </c>
      <c r="N254" s="5">
        <v>39000</v>
      </c>
      <c r="O254" s="3" t="s">
        <v>13</v>
      </c>
      <c r="P254" s="3" t="s">
        <v>54</v>
      </c>
    </row>
    <row r="255" spans="1:16" x14ac:dyDescent="0.25">
      <c r="A255" s="3">
        <v>100254</v>
      </c>
      <c r="B255" s="4">
        <v>46123</v>
      </c>
      <c r="C255" s="3" t="s">
        <v>25</v>
      </c>
      <c r="D255" s="3" t="s">
        <v>26</v>
      </c>
      <c r="E255" s="3" t="s">
        <v>27</v>
      </c>
      <c r="F255" s="3" t="s">
        <v>9</v>
      </c>
      <c r="G255" s="3" t="s">
        <v>10</v>
      </c>
      <c r="H255" s="3" t="s">
        <v>93</v>
      </c>
      <c r="I255" s="3" t="s">
        <v>20</v>
      </c>
      <c r="J255" s="3">
        <v>2</v>
      </c>
      <c r="K255" s="5">
        <v>58000</v>
      </c>
      <c r="L255" s="6">
        <v>0.1</v>
      </c>
      <c r="M255" s="5">
        <v>104400</v>
      </c>
      <c r="N255" s="5">
        <v>39000</v>
      </c>
      <c r="O255" s="3" t="s">
        <v>13</v>
      </c>
      <c r="P255" s="3" t="s">
        <v>30</v>
      </c>
    </row>
    <row r="256" spans="1:16" x14ac:dyDescent="0.25">
      <c r="A256" s="3">
        <v>100255</v>
      </c>
      <c r="B256" s="4">
        <v>46147</v>
      </c>
      <c r="C256" s="3" t="s">
        <v>32</v>
      </c>
      <c r="D256" s="3" t="s">
        <v>16</v>
      </c>
      <c r="E256" s="3" t="s">
        <v>27</v>
      </c>
      <c r="F256" s="3" t="s">
        <v>9</v>
      </c>
      <c r="G256" s="3" t="s">
        <v>52</v>
      </c>
      <c r="H256" s="3" t="s">
        <v>195</v>
      </c>
      <c r="I256" s="3" t="s">
        <v>12</v>
      </c>
      <c r="J256" s="3">
        <v>5</v>
      </c>
      <c r="K256" s="5">
        <v>24000</v>
      </c>
      <c r="L256" s="6">
        <v>0.15</v>
      </c>
      <c r="M256" s="5">
        <v>102000</v>
      </c>
      <c r="N256" s="5">
        <v>15000</v>
      </c>
      <c r="O256" s="3" t="s">
        <v>66</v>
      </c>
      <c r="P256" s="3" t="s">
        <v>21</v>
      </c>
    </row>
    <row r="257" spans="1:16" x14ac:dyDescent="0.25">
      <c r="A257" s="3">
        <v>100256</v>
      </c>
      <c r="B257" s="4">
        <v>46226</v>
      </c>
      <c r="C257" s="3" t="s">
        <v>25</v>
      </c>
      <c r="D257" s="3" t="s">
        <v>26</v>
      </c>
      <c r="E257" s="3" t="s">
        <v>33</v>
      </c>
      <c r="F257" s="3" t="s">
        <v>196</v>
      </c>
      <c r="G257" s="3" t="s">
        <v>35</v>
      </c>
      <c r="H257" s="3" t="s">
        <v>62</v>
      </c>
      <c r="I257" s="3" t="s">
        <v>12</v>
      </c>
      <c r="J257" s="3">
        <v>1</v>
      </c>
      <c r="K257" s="5">
        <v>6500</v>
      </c>
      <c r="L257" s="6">
        <v>0.05</v>
      </c>
      <c r="M257" s="5">
        <v>6175</v>
      </c>
      <c r="N257" s="5">
        <v>2200</v>
      </c>
      <c r="O257" s="3" t="s">
        <v>13</v>
      </c>
      <c r="P257" s="3" t="s">
        <v>74</v>
      </c>
    </row>
    <row r="258" spans="1:16" x14ac:dyDescent="0.25">
      <c r="A258" s="3">
        <v>100257</v>
      </c>
      <c r="B258" s="4">
        <v>46085</v>
      </c>
      <c r="C258" s="3" t="s">
        <v>15</v>
      </c>
      <c r="D258" s="3" t="s">
        <v>16</v>
      </c>
      <c r="E258" s="3" t="s">
        <v>27</v>
      </c>
      <c r="F258" s="3" t="s">
        <v>9</v>
      </c>
      <c r="G258" s="3" t="s">
        <v>10</v>
      </c>
      <c r="H258" s="3" t="s">
        <v>150</v>
      </c>
      <c r="I258" s="3" t="s">
        <v>20</v>
      </c>
      <c r="J258" s="3">
        <v>1</v>
      </c>
      <c r="K258" s="5">
        <v>58000</v>
      </c>
      <c r="L258" s="6">
        <v>0.05</v>
      </c>
      <c r="M258" s="5">
        <v>55100</v>
      </c>
      <c r="N258" s="5">
        <v>39000</v>
      </c>
      <c r="O258" s="3" t="s">
        <v>13</v>
      </c>
      <c r="P258" s="3" t="s">
        <v>37</v>
      </c>
    </row>
    <row r="259" spans="1:16" x14ac:dyDescent="0.25">
      <c r="A259" s="3">
        <v>100258</v>
      </c>
      <c r="B259" s="4">
        <v>46204</v>
      </c>
      <c r="C259" s="3" t="s">
        <v>45</v>
      </c>
      <c r="D259" s="3" t="s">
        <v>46</v>
      </c>
      <c r="E259" s="3" t="s">
        <v>8</v>
      </c>
      <c r="F259" s="3" t="s">
        <v>9</v>
      </c>
      <c r="G259" s="3" t="s">
        <v>42</v>
      </c>
      <c r="H259" s="3" t="s">
        <v>68</v>
      </c>
      <c r="I259" s="3" t="s">
        <v>12</v>
      </c>
      <c r="J259" s="3">
        <v>4</v>
      </c>
      <c r="K259" s="5">
        <v>42000</v>
      </c>
      <c r="L259" s="6">
        <v>0.15</v>
      </c>
      <c r="M259" s="5">
        <v>142800</v>
      </c>
      <c r="N259" s="5">
        <v>28000</v>
      </c>
      <c r="O259" s="3" t="s">
        <v>13</v>
      </c>
      <c r="P259" s="3" t="s">
        <v>74</v>
      </c>
    </row>
    <row r="260" spans="1:16" x14ac:dyDescent="0.25">
      <c r="A260" s="3">
        <v>100259</v>
      </c>
      <c r="B260" s="4">
        <v>46226</v>
      </c>
      <c r="C260" s="3" t="s">
        <v>22</v>
      </c>
      <c r="D260" s="3" t="s">
        <v>7</v>
      </c>
      <c r="E260" s="3" t="s">
        <v>33</v>
      </c>
      <c r="F260" s="3" t="s">
        <v>17</v>
      </c>
      <c r="G260" s="3" t="s">
        <v>18</v>
      </c>
      <c r="H260" s="3" t="s">
        <v>183</v>
      </c>
      <c r="I260" s="3" t="s">
        <v>20</v>
      </c>
      <c r="J260" s="3">
        <v>1</v>
      </c>
      <c r="K260" s="5">
        <v>165000</v>
      </c>
      <c r="L260" s="6">
        <v>0.25</v>
      </c>
      <c r="M260" s="5">
        <v>136125</v>
      </c>
      <c r="N260" s="5">
        <v>112000</v>
      </c>
      <c r="O260" s="3" t="s">
        <v>66</v>
      </c>
      <c r="P260" s="3" t="s">
        <v>30</v>
      </c>
    </row>
    <row r="261" spans="1:16" x14ac:dyDescent="0.25">
      <c r="A261" s="3">
        <v>100260</v>
      </c>
      <c r="B261" s="4">
        <v>46126</v>
      </c>
      <c r="C261" s="3" t="s">
        <v>45</v>
      </c>
      <c r="D261" s="3" t="s">
        <v>46</v>
      </c>
      <c r="E261" s="3" t="s">
        <v>8</v>
      </c>
      <c r="F261" s="3" t="s">
        <v>17</v>
      </c>
      <c r="G261" s="3" t="s">
        <v>23</v>
      </c>
      <c r="H261" s="3" t="s">
        <v>97</v>
      </c>
      <c r="I261" s="3" t="s">
        <v>20</v>
      </c>
      <c r="J261" s="3">
        <v>2</v>
      </c>
      <c r="K261" s="5">
        <v>32000</v>
      </c>
      <c r="L261" s="6">
        <v>0.15</v>
      </c>
      <c r="M261" s="5">
        <v>54400</v>
      </c>
      <c r="N261" s="5">
        <v>19000</v>
      </c>
      <c r="O261" s="3" t="s">
        <v>13</v>
      </c>
      <c r="P261" s="3" t="s">
        <v>54</v>
      </c>
    </row>
    <row r="262" spans="1:16" x14ac:dyDescent="0.25">
      <c r="A262" s="3">
        <v>100261</v>
      </c>
      <c r="B262" s="4">
        <v>46087</v>
      </c>
      <c r="C262" s="3" t="s">
        <v>6</v>
      </c>
      <c r="D262" s="3" t="s">
        <v>7</v>
      </c>
      <c r="E262" s="3" t="s">
        <v>33</v>
      </c>
      <c r="F262" s="3" t="s">
        <v>17</v>
      </c>
      <c r="G262" s="3" t="s">
        <v>28</v>
      </c>
      <c r="H262" s="3" t="s">
        <v>152</v>
      </c>
      <c r="I262" s="3" t="s">
        <v>12</v>
      </c>
      <c r="J262" s="3">
        <v>4</v>
      </c>
      <c r="K262" s="5">
        <v>26000</v>
      </c>
      <c r="L262" s="6">
        <v>0</v>
      </c>
      <c r="M262" s="5">
        <v>104000</v>
      </c>
      <c r="N262" s="5">
        <v>15000</v>
      </c>
      <c r="O262" s="3" t="s">
        <v>13</v>
      </c>
      <c r="P262" s="3" t="s">
        <v>14</v>
      </c>
    </row>
    <row r="263" spans="1:16" x14ac:dyDescent="0.25">
      <c r="A263" s="3">
        <v>100262</v>
      </c>
      <c r="B263" s="4">
        <v>46063</v>
      </c>
      <c r="C263" s="3" t="s">
        <v>40</v>
      </c>
      <c r="D263" s="3" t="s">
        <v>41</v>
      </c>
      <c r="E263" s="3" t="s">
        <v>27</v>
      </c>
      <c r="F263" s="3" t="s">
        <v>9</v>
      </c>
      <c r="G263" s="3" t="s">
        <v>52</v>
      </c>
      <c r="H263" s="3" t="s">
        <v>81</v>
      </c>
      <c r="I263" s="3" t="s">
        <v>12</v>
      </c>
      <c r="J263" s="3">
        <v>4</v>
      </c>
      <c r="K263" s="5">
        <v>24000</v>
      </c>
      <c r="L263" s="6">
        <v>0.05</v>
      </c>
      <c r="M263" s="5">
        <v>91200</v>
      </c>
      <c r="N263" s="5">
        <v>15000</v>
      </c>
      <c r="O263" s="3" t="s">
        <v>13</v>
      </c>
      <c r="P263" s="3" t="s">
        <v>37</v>
      </c>
    </row>
    <row r="264" spans="1:16" x14ac:dyDescent="0.25">
      <c r="A264" s="3">
        <v>100263</v>
      </c>
      <c r="B264" s="4">
        <v>46044</v>
      </c>
      <c r="C264" s="3" t="s">
        <v>6</v>
      </c>
      <c r="D264" s="3" t="s">
        <v>7</v>
      </c>
      <c r="E264" s="3" t="s">
        <v>33</v>
      </c>
      <c r="F264" s="3" t="s">
        <v>34</v>
      </c>
      <c r="G264" s="3" t="s">
        <v>50</v>
      </c>
      <c r="H264" s="3" t="s">
        <v>107</v>
      </c>
      <c r="I264" s="3" t="s">
        <v>12</v>
      </c>
      <c r="J264" s="3">
        <v>5</v>
      </c>
      <c r="K264" s="5">
        <v>9000</v>
      </c>
      <c r="L264" s="6">
        <v>0.25</v>
      </c>
      <c r="M264" s="5">
        <v>33750</v>
      </c>
      <c r="N264" s="5">
        <v>3500</v>
      </c>
      <c r="O264" s="3" t="s">
        <v>13</v>
      </c>
      <c r="P264" s="3" t="s">
        <v>48</v>
      </c>
    </row>
    <row r="265" spans="1:16" x14ac:dyDescent="0.25">
      <c r="A265" s="3">
        <v>100264</v>
      </c>
      <c r="B265" s="4">
        <v>46117</v>
      </c>
      <c r="C265" s="3" t="s">
        <v>25</v>
      </c>
      <c r="D265" s="3" t="s">
        <v>26</v>
      </c>
      <c r="E265" s="3" t="s">
        <v>33</v>
      </c>
      <c r="F265" s="3" t="s">
        <v>9</v>
      </c>
      <c r="G265" s="3" t="s">
        <v>42</v>
      </c>
      <c r="H265" s="3" t="s">
        <v>110</v>
      </c>
      <c r="I265" s="3" t="s">
        <v>20</v>
      </c>
      <c r="J265" s="3">
        <v>1</v>
      </c>
      <c r="K265" s="5">
        <v>42000</v>
      </c>
      <c r="L265" s="6">
        <v>0.05</v>
      </c>
      <c r="M265" s="5">
        <v>39900</v>
      </c>
      <c r="N265" s="5">
        <v>28000</v>
      </c>
      <c r="O265" s="3" t="s">
        <v>13</v>
      </c>
      <c r="P265" s="3" t="s">
        <v>48</v>
      </c>
    </row>
    <row r="266" spans="1:16" x14ac:dyDescent="0.25">
      <c r="A266" s="3">
        <v>100265</v>
      </c>
      <c r="B266" s="4">
        <v>46053</v>
      </c>
      <c r="C266" s="3" t="s">
        <v>45</v>
      </c>
      <c r="D266" s="3" t="s">
        <v>46</v>
      </c>
      <c r="E266" s="3" t="s">
        <v>33</v>
      </c>
      <c r="F266" s="3" t="s">
        <v>17</v>
      </c>
      <c r="G266" s="3" t="s">
        <v>23</v>
      </c>
      <c r="H266" s="3" t="s">
        <v>197</v>
      </c>
      <c r="I266" s="3" t="s">
        <v>20</v>
      </c>
      <c r="J266" s="3">
        <v>2</v>
      </c>
      <c r="K266" s="5">
        <v>32000</v>
      </c>
      <c r="L266" s="6">
        <v>0</v>
      </c>
      <c r="M266" s="5">
        <v>64000</v>
      </c>
      <c r="N266" s="5">
        <v>19000</v>
      </c>
      <c r="O266" s="3" t="s">
        <v>13</v>
      </c>
      <c r="P266" s="3" t="s">
        <v>14</v>
      </c>
    </row>
    <row r="267" spans="1:16" x14ac:dyDescent="0.25">
      <c r="A267" s="3">
        <v>100266</v>
      </c>
      <c r="B267" s="4">
        <v>46188</v>
      </c>
      <c r="C267" s="3" t="s">
        <v>25</v>
      </c>
      <c r="D267" s="3" t="s">
        <v>26</v>
      </c>
      <c r="E267" s="3" t="s">
        <v>8</v>
      </c>
      <c r="F267" s="3" t="s">
        <v>9</v>
      </c>
      <c r="G267" s="3" t="s">
        <v>52</v>
      </c>
      <c r="H267" s="3" t="s">
        <v>103</v>
      </c>
      <c r="I267" s="3" t="s">
        <v>12</v>
      </c>
      <c r="J267" s="3">
        <v>4</v>
      </c>
      <c r="K267" s="5">
        <v>24000</v>
      </c>
      <c r="L267" s="6">
        <v>0</v>
      </c>
      <c r="M267" s="5">
        <v>96000</v>
      </c>
      <c r="N267" s="5">
        <v>15000</v>
      </c>
      <c r="O267" s="3" t="s">
        <v>13</v>
      </c>
      <c r="P267" s="3" t="s">
        <v>54</v>
      </c>
    </row>
    <row r="268" spans="1:16" x14ac:dyDescent="0.25">
      <c r="A268" s="3">
        <v>100267</v>
      </c>
      <c r="B268" s="4">
        <v>46143</v>
      </c>
      <c r="C268" s="3" t="s">
        <v>45</v>
      </c>
      <c r="D268" s="3" t="s">
        <v>46</v>
      </c>
      <c r="E268" s="3" t="s">
        <v>33</v>
      </c>
      <c r="F268" s="3" t="s">
        <v>17</v>
      </c>
      <c r="G268" s="3" t="s">
        <v>28</v>
      </c>
      <c r="H268" s="3" t="s">
        <v>165</v>
      </c>
      <c r="I268" s="3" t="s">
        <v>20</v>
      </c>
      <c r="J268" s="3">
        <v>1</v>
      </c>
      <c r="K268" s="5">
        <v>26000</v>
      </c>
      <c r="L268" s="6">
        <v>0.05</v>
      </c>
      <c r="M268" s="5">
        <v>24700</v>
      </c>
      <c r="N268" s="5">
        <v>15000</v>
      </c>
      <c r="O268" s="3" t="s">
        <v>13</v>
      </c>
      <c r="P268" s="3" t="s">
        <v>44</v>
      </c>
    </row>
    <row r="269" spans="1:16" x14ac:dyDescent="0.25">
      <c r="A269" s="3">
        <v>100268</v>
      </c>
      <c r="B269" s="4">
        <v>46082</v>
      </c>
      <c r="C269" s="3" t="s">
        <v>32</v>
      </c>
      <c r="D269" s="3" t="s">
        <v>16</v>
      </c>
      <c r="E269" s="3" t="s">
        <v>27</v>
      </c>
      <c r="F269" s="3" t="s">
        <v>9</v>
      </c>
      <c r="G269" s="3" t="s">
        <v>10</v>
      </c>
      <c r="H269" s="3" t="s">
        <v>136</v>
      </c>
      <c r="I269" s="3" t="s">
        <v>20</v>
      </c>
      <c r="J269" s="3">
        <v>2</v>
      </c>
      <c r="K269" s="5">
        <v>58000</v>
      </c>
      <c r="L269" s="6">
        <v>0</v>
      </c>
      <c r="M269" s="5">
        <v>116000</v>
      </c>
      <c r="N269" s="5">
        <v>39000</v>
      </c>
      <c r="O269" s="3" t="s">
        <v>13</v>
      </c>
      <c r="P269" s="3" t="s">
        <v>54</v>
      </c>
    </row>
    <row r="270" spans="1:16" x14ac:dyDescent="0.25">
      <c r="A270" s="3">
        <v>100269</v>
      </c>
      <c r="B270" s="4">
        <v>46119</v>
      </c>
      <c r="C270" s="3" t="s">
        <v>22</v>
      </c>
      <c r="D270" s="3" t="s">
        <v>7</v>
      </c>
      <c r="E270" s="3" t="s">
        <v>8</v>
      </c>
      <c r="F270" s="3" t="s">
        <v>17</v>
      </c>
      <c r="G270" s="3" t="s">
        <v>28</v>
      </c>
      <c r="H270" s="3" t="s">
        <v>141</v>
      </c>
      <c r="I270" s="3" t="s">
        <v>20</v>
      </c>
      <c r="J270" s="3">
        <v>5</v>
      </c>
      <c r="K270" s="5">
        <v>26000</v>
      </c>
      <c r="L270" s="6">
        <v>0.15</v>
      </c>
      <c r="M270" s="5">
        <v>110500</v>
      </c>
      <c r="N270" s="5">
        <v>15000</v>
      </c>
      <c r="O270" s="3" t="s">
        <v>13</v>
      </c>
      <c r="P270" s="3" t="s">
        <v>21</v>
      </c>
    </row>
    <row r="271" spans="1:16" x14ac:dyDescent="0.25">
      <c r="A271" s="3">
        <v>100270</v>
      </c>
      <c r="B271" s="4">
        <v>46189</v>
      </c>
      <c r="C271" s="3" t="s">
        <v>45</v>
      </c>
      <c r="D271" s="3" t="s">
        <v>46</v>
      </c>
      <c r="E271" s="3" t="s">
        <v>27</v>
      </c>
      <c r="F271" s="3" t="s">
        <v>34</v>
      </c>
      <c r="G271" s="3" t="s">
        <v>55</v>
      </c>
      <c r="H271" s="3" t="s">
        <v>198</v>
      </c>
      <c r="I271" s="3" t="s">
        <v>20</v>
      </c>
      <c r="J271" s="3">
        <v>4</v>
      </c>
      <c r="K271" s="5">
        <v>28000</v>
      </c>
      <c r="L271" s="6">
        <v>0</v>
      </c>
      <c r="M271" s="5">
        <v>112000</v>
      </c>
      <c r="N271" s="5">
        <v>16000</v>
      </c>
      <c r="O271" s="3" t="s">
        <v>13</v>
      </c>
      <c r="P271" s="3" t="s">
        <v>30</v>
      </c>
    </row>
    <row r="272" spans="1:16" x14ac:dyDescent="0.25">
      <c r="A272" s="3">
        <v>100271</v>
      </c>
      <c r="B272" s="4">
        <v>46137</v>
      </c>
      <c r="C272" s="3" t="s">
        <v>40</v>
      </c>
      <c r="D272" s="3" t="s">
        <v>41</v>
      </c>
      <c r="E272" s="3" t="s">
        <v>27</v>
      </c>
      <c r="F272" s="3" t="s">
        <v>17</v>
      </c>
      <c r="G272" s="3" t="s">
        <v>18</v>
      </c>
      <c r="H272" s="3" t="s">
        <v>150</v>
      </c>
      <c r="I272" s="3" t="s">
        <v>12</v>
      </c>
      <c r="J272" s="3">
        <v>1</v>
      </c>
      <c r="K272" s="5">
        <v>165000</v>
      </c>
      <c r="L272" s="6">
        <v>0</v>
      </c>
      <c r="M272" s="5">
        <v>165000</v>
      </c>
      <c r="N272" s="5">
        <v>112000</v>
      </c>
      <c r="O272" s="3" t="s">
        <v>13</v>
      </c>
      <c r="P272" s="3" t="s">
        <v>14</v>
      </c>
    </row>
    <row r="273" spans="1:16" x14ac:dyDescent="0.25">
      <c r="A273" s="3">
        <v>100272</v>
      </c>
      <c r="B273" s="4">
        <v>46100</v>
      </c>
      <c r="C273" s="3" t="s">
        <v>32</v>
      </c>
      <c r="D273" s="3" t="s">
        <v>16</v>
      </c>
      <c r="E273" s="3" t="s">
        <v>33</v>
      </c>
      <c r="F273" s="3" t="s">
        <v>9</v>
      </c>
      <c r="G273" s="3" t="s">
        <v>42</v>
      </c>
      <c r="H273" s="3" t="s">
        <v>136</v>
      </c>
      <c r="I273" s="3" t="s">
        <v>20</v>
      </c>
      <c r="J273" s="3">
        <v>1</v>
      </c>
      <c r="K273" s="5">
        <v>42000</v>
      </c>
      <c r="L273" s="6">
        <v>0</v>
      </c>
      <c r="M273" s="5">
        <v>42000</v>
      </c>
      <c r="N273" s="5">
        <v>28000</v>
      </c>
      <c r="O273" s="3" t="s">
        <v>13</v>
      </c>
      <c r="P273" s="3" t="s">
        <v>44</v>
      </c>
    </row>
    <row r="274" spans="1:16" x14ac:dyDescent="0.25">
      <c r="A274" s="3">
        <v>100273</v>
      </c>
      <c r="B274" s="4">
        <v>46037</v>
      </c>
      <c r="C274" s="3" t="s">
        <v>40</v>
      </c>
      <c r="D274" s="3" t="s">
        <v>41</v>
      </c>
      <c r="E274" s="3" t="s">
        <v>27</v>
      </c>
      <c r="F274" s="3" t="s">
        <v>17</v>
      </c>
      <c r="G274" s="3" t="s">
        <v>18</v>
      </c>
      <c r="H274" s="3" t="s">
        <v>199</v>
      </c>
      <c r="I274" s="3" t="s">
        <v>12</v>
      </c>
      <c r="J274" s="3">
        <v>2</v>
      </c>
      <c r="K274" s="5">
        <v>165000</v>
      </c>
      <c r="L274" s="6">
        <v>0.05</v>
      </c>
      <c r="M274" s="5">
        <v>313500</v>
      </c>
      <c r="N274" s="5">
        <v>112000</v>
      </c>
      <c r="O274" s="3" t="s">
        <v>13</v>
      </c>
      <c r="P274" s="3" t="s">
        <v>37</v>
      </c>
    </row>
    <row r="275" spans="1:16" x14ac:dyDescent="0.25">
      <c r="A275" s="3">
        <v>100274</v>
      </c>
      <c r="B275" s="4">
        <v>46260</v>
      </c>
      <c r="C275" s="3" t="s">
        <v>45</v>
      </c>
      <c r="D275" s="3" t="s">
        <v>46</v>
      </c>
      <c r="E275" s="3" t="s">
        <v>27</v>
      </c>
      <c r="F275" s="3" t="s">
        <v>34</v>
      </c>
      <c r="G275" s="3" t="s">
        <v>55</v>
      </c>
      <c r="H275" s="3" t="s">
        <v>138</v>
      </c>
      <c r="I275" s="3" t="s">
        <v>20</v>
      </c>
      <c r="J275" s="3">
        <v>3</v>
      </c>
      <c r="K275" s="5">
        <v>28000</v>
      </c>
      <c r="L275" s="6">
        <v>0</v>
      </c>
      <c r="M275" s="5">
        <v>84000</v>
      </c>
      <c r="N275" s="5">
        <v>16000</v>
      </c>
      <c r="O275" s="3" t="s">
        <v>13</v>
      </c>
      <c r="P275" s="3" t="s">
        <v>44</v>
      </c>
    </row>
    <row r="276" spans="1:16" x14ac:dyDescent="0.25">
      <c r="A276" s="3">
        <v>100275</v>
      </c>
      <c r="B276" s="4">
        <v>46156</v>
      </c>
      <c r="C276" s="3" t="s">
        <v>15</v>
      </c>
      <c r="D276" s="3" t="s">
        <v>16</v>
      </c>
      <c r="E276" s="3" t="s">
        <v>27</v>
      </c>
      <c r="F276" s="3" t="s">
        <v>17</v>
      </c>
      <c r="G276" s="3" t="s">
        <v>28</v>
      </c>
      <c r="H276" s="3" t="s">
        <v>90</v>
      </c>
      <c r="I276" s="3" t="s">
        <v>12</v>
      </c>
      <c r="J276" s="3">
        <v>22</v>
      </c>
      <c r="K276" s="5">
        <v>26000</v>
      </c>
      <c r="L276" s="6">
        <v>0.05</v>
      </c>
      <c r="M276" s="5">
        <v>543400</v>
      </c>
      <c r="N276" s="5">
        <v>15000</v>
      </c>
      <c r="O276" s="3" t="s">
        <v>13</v>
      </c>
      <c r="P276" s="3" t="s">
        <v>48</v>
      </c>
    </row>
    <row r="277" spans="1:16" x14ac:dyDescent="0.25">
      <c r="A277" s="3">
        <v>100276</v>
      </c>
      <c r="B277" s="4">
        <v>46195</v>
      </c>
      <c r="C277" s="3" t="s">
        <v>32</v>
      </c>
      <c r="D277" s="3" t="s">
        <v>16</v>
      </c>
      <c r="E277" s="3" t="s">
        <v>27</v>
      </c>
      <c r="F277" s="3" t="s">
        <v>9</v>
      </c>
      <c r="G277" s="3" t="s">
        <v>52</v>
      </c>
      <c r="H277" s="3" t="s">
        <v>148</v>
      </c>
      <c r="I277" s="3" t="s">
        <v>12</v>
      </c>
      <c r="J277" s="3">
        <v>2</v>
      </c>
      <c r="K277" s="5">
        <v>24000</v>
      </c>
      <c r="L277" s="6">
        <v>0.1</v>
      </c>
      <c r="M277" s="5">
        <v>43200</v>
      </c>
      <c r="N277" s="5">
        <v>15000</v>
      </c>
      <c r="O277" s="3" t="s">
        <v>13</v>
      </c>
      <c r="P277" s="3" t="s">
        <v>48</v>
      </c>
    </row>
    <row r="278" spans="1:16" x14ac:dyDescent="0.25">
      <c r="A278" s="3">
        <v>100277</v>
      </c>
      <c r="B278" s="4">
        <v>46231</v>
      </c>
      <c r="C278" s="3" t="s">
        <v>15</v>
      </c>
      <c r="D278" s="3" t="s">
        <v>16</v>
      </c>
      <c r="E278" s="3" t="s">
        <v>33</v>
      </c>
      <c r="F278" s="3" t="s">
        <v>17</v>
      </c>
      <c r="G278" s="3" t="s">
        <v>28</v>
      </c>
      <c r="H278" s="3" t="s">
        <v>128</v>
      </c>
      <c r="I278" s="3" t="s">
        <v>12</v>
      </c>
      <c r="J278" s="3">
        <v>22</v>
      </c>
      <c r="K278" s="5">
        <v>26000</v>
      </c>
      <c r="L278" s="6">
        <v>0</v>
      </c>
      <c r="M278" s="5">
        <v>572000</v>
      </c>
      <c r="N278" s="5">
        <v>15000</v>
      </c>
      <c r="O278" s="3" t="s">
        <v>13</v>
      </c>
      <c r="P278" s="3" t="s">
        <v>30</v>
      </c>
    </row>
    <row r="279" spans="1:16" x14ac:dyDescent="0.25">
      <c r="A279" s="3">
        <v>100278</v>
      </c>
      <c r="B279" s="4">
        <v>46200</v>
      </c>
      <c r="C279" s="3" t="s">
        <v>15</v>
      </c>
      <c r="D279" s="3" t="s">
        <v>16</v>
      </c>
      <c r="E279" s="3" t="s">
        <v>33</v>
      </c>
      <c r="F279" s="3" t="s">
        <v>17</v>
      </c>
      <c r="G279" s="3" t="s">
        <v>28</v>
      </c>
      <c r="H279" s="3" t="s">
        <v>180</v>
      </c>
      <c r="I279" s="3" t="s">
        <v>12</v>
      </c>
      <c r="J279" s="3">
        <v>3</v>
      </c>
      <c r="K279" s="5">
        <v>26000</v>
      </c>
      <c r="L279" s="6">
        <v>0.1</v>
      </c>
      <c r="M279" s="5">
        <v>56160</v>
      </c>
      <c r="N279" s="5">
        <v>15000</v>
      </c>
      <c r="O279" s="3" t="s">
        <v>13</v>
      </c>
      <c r="P279" s="3" t="s">
        <v>44</v>
      </c>
    </row>
    <row r="280" spans="1:16" x14ac:dyDescent="0.25">
      <c r="A280" s="3">
        <v>100279</v>
      </c>
      <c r="B280" s="4">
        <v>46074</v>
      </c>
      <c r="C280" s="3" t="s">
        <v>6</v>
      </c>
      <c r="D280" s="3" t="s">
        <v>7</v>
      </c>
      <c r="E280" s="3" t="s">
        <v>27</v>
      </c>
      <c r="F280" s="3" t="s">
        <v>34</v>
      </c>
      <c r="G280" s="3" t="s">
        <v>35</v>
      </c>
      <c r="H280" s="3" t="s">
        <v>29</v>
      </c>
      <c r="I280" s="3" t="s">
        <v>20</v>
      </c>
      <c r="J280" s="3">
        <v>4</v>
      </c>
      <c r="K280" s="5">
        <v>6500</v>
      </c>
      <c r="L280" s="6">
        <v>0.15</v>
      </c>
      <c r="M280" s="5">
        <v>22100</v>
      </c>
      <c r="N280" s="5">
        <v>2200</v>
      </c>
      <c r="O280" s="3" t="s">
        <v>13</v>
      </c>
      <c r="P280" s="3" t="s">
        <v>54</v>
      </c>
    </row>
    <row r="281" spans="1:16" x14ac:dyDescent="0.25">
      <c r="A281" s="3">
        <v>100280</v>
      </c>
      <c r="B281" s="4">
        <v>46189</v>
      </c>
      <c r="C281" s="3" t="s">
        <v>15</v>
      </c>
      <c r="D281" s="3" t="s">
        <v>16</v>
      </c>
      <c r="E281" s="3" t="s">
        <v>8</v>
      </c>
      <c r="F281" s="3" t="s">
        <v>17</v>
      </c>
      <c r="G281" s="3" t="s">
        <v>23</v>
      </c>
      <c r="H281" s="3" t="s">
        <v>200</v>
      </c>
      <c r="I281" s="3" t="s">
        <v>20</v>
      </c>
      <c r="J281" s="3">
        <v>1</v>
      </c>
      <c r="K281" s="5">
        <v>32000</v>
      </c>
      <c r="L281" s="6">
        <v>0.05</v>
      </c>
      <c r="M281" s="5">
        <v>30400</v>
      </c>
      <c r="N281" s="5">
        <v>19000</v>
      </c>
      <c r="O281" s="3" t="s">
        <v>13</v>
      </c>
      <c r="P281" s="3" t="s">
        <v>30</v>
      </c>
    </row>
    <row r="282" spans="1:16" x14ac:dyDescent="0.25">
      <c r="A282" s="3">
        <v>100281</v>
      </c>
      <c r="B282" s="4">
        <v>46157</v>
      </c>
      <c r="C282" s="3" t="s">
        <v>15</v>
      </c>
      <c r="D282" s="3" t="s">
        <v>16</v>
      </c>
      <c r="E282" s="3" t="s">
        <v>8</v>
      </c>
      <c r="F282" s="3" t="s">
        <v>17</v>
      </c>
      <c r="G282" s="3" t="s">
        <v>28</v>
      </c>
      <c r="H282" s="3" t="s">
        <v>201</v>
      </c>
      <c r="I282" s="3" t="s">
        <v>12</v>
      </c>
      <c r="J282" s="3">
        <v>1</v>
      </c>
      <c r="K282" s="5">
        <v>26000</v>
      </c>
      <c r="L282" s="6">
        <v>0.15</v>
      </c>
      <c r="M282" s="5">
        <v>22100</v>
      </c>
      <c r="N282" s="5">
        <v>15000</v>
      </c>
      <c r="O282" s="3" t="s">
        <v>13</v>
      </c>
      <c r="P282" s="3" t="s">
        <v>37</v>
      </c>
    </row>
    <row r="283" spans="1:16" x14ac:dyDescent="0.25">
      <c r="A283" s="3">
        <v>100282</v>
      </c>
      <c r="B283" s="4">
        <v>46149</v>
      </c>
      <c r="C283" s="3" t="s">
        <v>15</v>
      </c>
      <c r="D283" s="3" t="s">
        <v>16</v>
      </c>
      <c r="E283" s="3" t="s">
        <v>33</v>
      </c>
      <c r="F283" s="3" t="s">
        <v>17</v>
      </c>
      <c r="G283" s="3" t="s">
        <v>28</v>
      </c>
      <c r="H283" s="3" t="s">
        <v>116</v>
      </c>
      <c r="I283" s="3" t="s">
        <v>20</v>
      </c>
      <c r="J283" s="3">
        <v>2</v>
      </c>
      <c r="K283" s="5">
        <v>26000</v>
      </c>
      <c r="L283" s="6">
        <v>0.05</v>
      </c>
      <c r="M283" s="5">
        <v>49400</v>
      </c>
      <c r="N283" s="5">
        <v>15000</v>
      </c>
      <c r="O283" s="3" t="s">
        <v>13</v>
      </c>
      <c r="P283" s="3" t="s">
        <v>21</v>
      </c>
    </row>
    <row r="284" spans="1:16" x14ac:dyDescent="0.25">
      <c r="A284" s="3">
        <v>100283</v>
      </c>
      <c r="B284" s="4">
        <v>46260</v>
      </c>
      <c r="C284" s="3" t="s">
        <v>15</v>
      </c>
      <c r="D284" s="3" t="s">
        <v>16</v>
      </c>
      <c r="E284" s="3" t="s">
        <v>33</v>
      </c>
      <c r="F284" s="3" t="s">
        <v>9</v>
      </c>
      <c r="G284" s="3" t="s">
        <v>10</v>
      </c>
      <c r="H284" s="3" t="s">
        <v>115</v>
      </c>
      <c r="I284" s="3" t="s">
        <v>20</v>
      </c>
      <c r="J284" s="3">
        <v>1</v>
      </c>
      <c r="K284" s="5">
        <v>58000</v>
      </c>
      <c r="L284" s="6">
        <v>0.05</v>
      </c>
      <c r="M284" s="5">
        <v>55100</v>
      </c>
      <c r="N284" s="5">
        <v>39000</v>
      </c>
      <c r="O284" s="3" t="s">
        <v>13</v>
      </c>
      <c r="P284" s="3" t="s">
        <v>37</v>
      </c>
    </row>
    <row r="285" spans="1:16" x14ac:dyDescent="0.25">
      <c r="A285" s="3">
        <v>100284</v>
      </c>
      <c r="B285" s="4">
        <v>46245</v>
      </c>
      <c r="C285" s="3" t="s">
        <v>6</v>
      </c>
      <c r="D285" s="3" t="s">
        <v>7</v>
      </c>
      <c r="E285" s="3" t="s">
        <v>33</v>
      </c>
      <c r="F285" s="3" t="s">
        <v>9</v>
      </c>
      <c r="G285" s="3" t="s">
        <v>52</v>
      </c>
      <c r="H285" s="3" t="s">
        <v>202</v>
      </c>
      <c r="I285" s="3" t="s">
        <v>12</v>
      </c>
      <c r="J285" s="3">
        <v>4</v>
      </c>
      <c r="K285" s="5">
        <v>24000</v>
      </c>
      <c r="L285" s="6">
        <v>0.1</v>
      </c>
      <c r="M285" s="5">
        <v>95040</v>
      </c>
      <c r="N285" s="5">
        <v>15000</v>
      </c>
      <c r="O285" s="3" t="s">
        <v>13</v>
      </c>
      <c r="P285" s="3" t="s">
        <v>44</v>
      </c>
    </row>
    <row r="286" spans="1:16" x14ac:dyDescent="0.25">
      <c r="A286" s="3">
        <v>100285</v>
      </c>
      <c r="B286" s="4">
        <v>46221</v>
      </c>
      <c r="C286" s="3" t="s">
        <v>25</v>
      </c>
      <c r="D286" s="3" t="s">
        <v>26</v>
      </c>
      <c r="E286" s="3" t="s">
        <v>27</v>
      </c>
      <c r="F286" s="3" t="s">
        <v>9</v>
      </c>
      <c r="G286" s="3" t="s">
        <v>52</v>
      </c>
      <c r="H286" s="3" t="s">
        <v>155</v>
      </c>
      <c r="I286" s="3" t="s">
        <v>20</v>
      </c>
      <c r="J286" s="3">
        <v>1</v>
      </c>
      <c r="K286" s="5">
        <v>24000</v>
      </c>
      <c r="L286" s="6">
        <v>0.05</v>
      </c>
      <c r="M286" s="5">
        <v>22800</v>
      </c>
      <c r="N286" s="5">
        <v>15000</v>
      </c>
      <c r="O286" s="3" t="s">
        <v>13</v>
      </c>
      <c r="P286" s="3" t="s">
        <v>48</v>
      </c>
    </row>
    <row r="287" spans="1:16" x14ac:dyDescent="0.25">
      <c r="A287" s="3">
        <v>100286</v>
      </c>
      <c r="B287" s="4">
        <v>46097</v>
      </c>
      <c r="C287" s="3" t="s">
        <v>25</v>
      </c>
      <c r="D287" s="3" t="s">
        <v>26</v>
      </c>
      <c r="E287" s="3" t="s">
        <v>27</v>
      </c>
      <c r="F287" s="3" t="s">
        <v>34</v>
      </c>
      <c r="G287" s="3" t="s">
        <v>50</v>
      </c>
      <c r="H287" s="3" t="s">
        <v>203</v>
      </c>
      <c r="I287" s="3" t="s">
        <v>20</v>
      </c>
      <c r="J287" s="3">
        <v>1</v>
      </c>
      <c r="K287" s="5">
        <v>9000</v>
      </c>
      <c r="L287" s="6">
        <v>0.1</v>
      </c>
      <c r="M287" s="5">
        <v>8100</v>
      </c>
      <c r="N287" s="5">
        <v>3500</v>
      </c>
      <c r="O287" s="3" t="s">
        <v>13</v>
      </c>
      <c r="P287" s="3" t="s">
        <v>74</v>
      </c>
    </row>
    <row r="288" spans="1:16" x14ac:dyDescent="0.25">
      <c r="A288" s="3">
        <v>100287</v>
      </c>
      <c r="B288" s="4">
        <v>46078</v>
      </c>
      <c r="C288" s="3" t="s">
        <v>45</v>
      </c>
      <c r="D288" s="3" t="s">
        <v>46</v>
      </c>
      <c r="E288" s="3" t="s">
        <v>27</v>
      </c>
      <c r="F288" s="3" t="s">
        <v>17</v>
      </c>
      <c r="G288" s="3" t="s">
        <v>23</v>
      </c>
      <c r="H288" s="3" t="s">
        <v>204</v>
      </c>
      <c r="I288" s="3" t="s">
        <v>12</v>
      </c>
      <c r="J288" s="3">
        <v>3</v>
      </c>
      <c r="K288" s="5">
        <v>32000</v>
      </c>
      <c r="L288" s="6">
        <v>0.05</v>
      </c>
      <c r="M288" s="5">
        <v>91200</v>
      </c>
      <c r="N288" s="5">
        <v>19000</v>
      </c>
      <c r="O288" s="3" t="s">
        <v>13</v>
      </c>
      <c r="P288" s="3" t="s">
        <v>30</v>
      </c>
    </row>
    <row r="289" spans="1:16" x14ac:dyDescent="0.25">
      <c r="A289" s="3">
        <v>100288</v>
      </c>
      <c r="B289" s="4">
        <v>46177</v>
      </c>
      <c r="C289" s="3" t="s">
        <v>40</v>
      </c>
      <c r="D289" s="3" t="s">
        <v>41</v>
      </c>
      <c r="E289" s="3" t="s">
        <v>33</v>
      </c>
      <c r="F289" s="3" t="s">
        <v>17</v>
      </c>
      <c r="G289" s="3" t="s">
        <v>28</v>
      </c>
      <c r="H289" s="3" t="s">
        <v>144</v>
      </c>
      <c r="I289" s="3" t="s">
        <v>20</v>
      </c>
      <c r="J289" s="3">
        <v>1</v>
      </c>
      <c r="K289" s="5">
        <v>26000</v>
      </c>
      <c r="L289" s="6">
        <v>0.05</v>
      </c>
      <c r="M289" s="5">
        <v>24700</v>
      </c>
      <c r="N289" s="5">
        <v>15000</v>
      </c>
      <c r="O289" s="3" t="s">
        <v>13</v>
      </c>
      <c r="P289" s="3" t="s">
        <v>14</v>
      </c>
    </row>
    <row r="290" spans="1:16" x14ac:dyDescent="0.25">
      <c r="A290" s="3">
        <v>100289</v>
      </c>
      <c r="B290" s="4">
        <v>46224</v>
      </c>
      <c r="C290" s="3" t="s">
        <v>15</v>
      </c>
      <c r="D290" s="3" t="s">
        <v>16</v>
      </c>
      <c r="E290" s="3" t="s">
        <v>33</v>
      </c>
      <c r="F290" s="3" t="s">
        <v>17</v>
      </c>
      <c r="G290" s="3" t="s">
        <v>23</v>
      </c>
      <c r="H290" s="3" t="s">
        <v>205</v>
      </c>
      <c r="I290" s="3" t="s">
        <v>12</v>
      </c>
      <c r="J290" s="3">
        <v>3</v>
      </c>
      <c r="K290" s="5">
        <v>32000</v>
      </c>
      <c r="L290" s="6">
        <v>0.1</v>
      </c>
      <c r="M290" s="5">
        <v>86400</v>
      </c>
      <c r="N290" s="5">
        <v>19000</v>
      </c>
      <c r="O290" s="3" t="s">
        <v>13</v>
      </c>
      <c r="P290" s="3" t="s">
        <v>48</v>
      </c>
    </row>
    <row r="291" spans="1:16" x14ac:dyDescent="0.25">
      <c r="A291" s="3">
        <v>100290</v>
      </c>
      <c r="B291" s="4">
        <v>46116</v>
      </c>
      <c r="C291" s="3" t="s">
        <v>15</v>
      </c>
      <c r="D291" s="3" t="s">
        <v>16</v>
      </c>
      <c r="E291" s="3" t="s">
        <v>33</v>
      </c>
      <c r="F291" s="3" t="s">
        <v>17</v>
      </c>
      <c r="G291" s="3" t="s">
        <v>23</v>
      </c>
      <c r="H291" s="3" t="s">
        <v>19</v>
      </c>
      <c r="I291" s="3" t="s">
        <v>20</v>
      </c>
      <c r="J291" s="3">
        <v>5</v>
      </c>
      <c r="K291" s="5">
        <v>32000</v>
      </c>
      <c r="L291" s="6">
        <v>0.15</v>
      </c>
      <c r="M291" s="5">
        <v>136000</v>
      </c>
      <c r="N291" s="5">
        <v>19000</v>
      </c>
      <c r="O291" s="3" t="s">
        <v>13</v>
      </c>
      <c r="P291" s="3" t="s">
        <v>54</v>
      </c>
    </row>
    <row r="292" spans="1:16" x14ac:dyDescent="0.25">
      <c r="A292" s="3">
        <v>100291</v>
      </c>
      <c r="B292" s="4">
        <v>46110</v>
      </c>
      <c r="C292" s="3" t="s">
        <v>40</v>
      </c>
      <c r="D292" s="3" t="s">
        <v>41</v>
      </c>
      <c r="E292" s="3" t="s">
        <v>33</v>
      </c>
      <c r="F292" s="3" t="s">
        <v>17</v>
      </c>
      <c r="G292" s="3" t="s">
        <v>23</v>
      </c>
      <c r="H292" s="3" t="s">
        <v>69</v>
      </c>
      <c r="I292" s="3" t="s">
        <v>20</v>
      </c>
      <c r="J292" s="3">
        <v>1</v>
      </c>
      <c r="K292" s="5">
        <v>32000</v>
      </c>
      <c r="L292" s="6">
        <v>0.1</v>
      </c>
      <c r="M292" s="5">
        <v>28800</v>
      </c>
      <c r="N292" s="5">
        <v>19000</v>
      </c>
      <c r="O292" s="3" t="s">
        <v>13</v>
      </c>
      <c r="P292" s="3" t="s">
        <v>44</v>
      </c>
    </row>
    <row r="293" spans="1:16" x14ac:dyDescent="0.25">
      <c r="A293" s="3">
        <v>100292</v>
      </c>
      <c r="B293" s="4">
        <v>46130</v>
      </c>
      <c r="C293" s="3" t="s">
        <v>32</v>
      </c>
      <c r="D293" s="3" t="s">
        <v>16</v>
      </c>
      <c r="E293" s="3" t="s">
        <v>8</v>
      </c>
      <c r="F293" s="3" t="s">
        <v>17</v>
      </c>
      <c r="G293" s="3" t="s">
        <v>18</v>
      </c>
      <c r="H293" s="3" t="s">
        <v>80</v>
      </c>
      <c r="I293" s="3" t="s">
        <v>20</v>
      </c>
      <c r="J293" s="3">
        <v>1</v>
      </c>
      <c r="K293" s="5">
        <v>165000</v>
      </c>
      <c r="L293" s="6">
        <v>0.15</v>
      </c>
      <c r="M293" s="5">
        <v>140250</v>
      </c>
      <c r="N293" s="5">
        <v>112000</v>
      </c>
      <c r="O293" s="3" t="s">
        <v>13</v>
      </c>
      <c r="P293" s="3" t="s">
        <v>54</v>
      </c>
    </row>
    <row r="294" spans="1:16" x14ac:dyDescent="0.25">
      <c r="A294" s="3">
        <v>100293</v>
      </c>
      <c r="B294" s="4">
        <v>46122</v>
      </c>
      <c r="C294" s="3" t="s">
        <v>45</v>
      </c>
      <c r="D294" s="3" t="s">
        <v>46</v>
      </c>
      <c r="E294" s="3" t="s">
        <v>8</v>
      </c>
      <c r="F294" s="3" t="s">
        <v>34</v>
      </c>
      <c r="G294" s="3" t="s">
        <v>55</v>
      </c>
      <c r="H294" s="3" t="s">
        <v>123</v>
      </c>
      <c r="I294" s="3" t="s">
        <v>12</v>
      </c>
      <c r="J294" s="3">
        <v>2</v>
      </c>
      <c r="K294" s="5">
        <v>28000</v>
      </c>
      <c r="L294" s="6">
        <v>0</v>
      </c>
      <c r="M294" s="5">
        <v>56000</v>
      </c>
      <c r="N294" s="5">
        <v>16000</v>
      </c>
      <c r="O294" s="3" t="s">
        <v>13</v>
      </c>
      <c r="P294" s="3" t="s">
        <v>37</v>
      </c>
    </row>
    <row r="295" spans="1:16" x14ac:dyDescent="0.25">
      <c r="A295" s="3">
        <v>100294</v>
      </c>
      <c r="B295" s="4">
        <v>46223</v>
      </c>
      <c r="C295" s="3" t="s">
        <v>40</v>
      </c>
      <c r="D295" s="3" t="s">
        <v>41</v>
      </c>
      <c r="E295" s="3" t="s">
        <v>33</v>
      </c>
      <c r="F295" s="3" t="s">
        <v>17</v>
      </c>
      <c r="G295" s="3" t="s">
        <v>28</v>
      </c>
      <c r="H295" s="3" t="s">
        <v>200</v>
      </c>
      <c r="I295" s="3" t="s">
        <v>12</v>
      </c>
      <c r="J295" s="3">
        <v>3</v>
      </c>
      <c r="K295" s="5">
        <v>26000</v>
      </c>
      <c r="L295" s="6">
        <v>0.1</v>
      </c>
      <c r="M295" s="5">
        <v>63180</v>
      </c>
      <c r="N295" s="5">
        <v>15000</v>
      </c>
      <c r="O295" s="3" t="s">
        <v>13</v>
      </c>
      <c r="P295" s="3" t="s">
        <v>44</v>
      </c>
    </row>
    <row r="296" spans="1:16" x14ac:dyDescent="0.25">
      <c r="A296" s="3">
        <v>100295</v>
      </c>
      <c r="B296" s="4">
        <v>46066</v>
      </c>
      <c r="C296" s="3" t="s">
        <v>40</v>
      </c>
      <c r="D296" s="3" t="s">
        <v>41</v>
      </c>
      <c r="E296" s="3" t="s">
        <v>8</v>
      </c>
      <c r="F296" s="3" t="s">
        <v>17</v>
      </c>
      <c r="G296" s="3" t="s">
        <v>23</v>
      </c>
      <c r="H296" s="3" t="s">
        <v>206</v>
      </c>
      <c r="I296" s="3" t="s">
        <v>12</v>
      </c>
      <c r="J296" s="3">
        <v>1</v>
      </c>
      <c r="K296" s="5">
        <v>32000</v>
      </c>
      <c r="L296" s="6">
        <v>0.15</v>
      </c>
      <c r="M296" s="5">
        <v>27200</v>
      </c>
      <c r="N296" s="5">
        <v>19000</v>
      </c>
      <c r="O296" s="3" t="s">
        <v>66</v>
      </c>
      <c r="P296" s="3" t="s">
        <v>21</v>
      </c>
    </row>
    <row r="297" spans="1:16" x14ac:dyDescent="0.25">
      <c r="A297" s="3">
        <v>100296</v>
      </c>
      <c r="B297" s="4">
        <v>46138</v>
      </c>
      <c r="C297" s="3" t="s">
        <v>40</v>
      </c>
      <c r="D297" s="3" t="s">
        <v>41</v>
      </c>
      <c r="E297" s="3" t="s">
        <v>8</v>
      </c>
      <c r="F297" s="3" t="s">
        <v>17</v>
      </c>
      <c r="G297" s="3" t="s">
        <v>23</v>
      </c>
      <c r="H297" s="3" t="s">
        <v>134</v>
      </c>
      <c r="I297" s="3" t="s">
        <v>12</v>
      </c>
      <c r="J297" s="3">
        <v>2</v>
      </c>
      <c r="K297" s="5">
        <v>32000</v>
      </c>
      <c r="L297" s="6">
        <v>0.05</v>
      </c>
      <c r="M297" s="5">
        <v>72960</v>
      </c>
      <c r="N297" s="3"/>
      <c r="O297" s="3" t="s">
        <v>66</v>
      </c>
      <c r="P297" s="3" t="s">
        <v>37</v>
      </c>
    </row>
    <row r="298" spans="1:16" x14ac:dyDescent="0.25">
      <c r="A298" s="3">
        <v>100297</v>
      </c>
      <c r="B298" s="4">
        <v>46038</v>
      </c>
      <c r="C298" s="3" t="s">
        <v>40</v>
      </c>
      <c r="D298" s="3" t="s">
        <v>41</v>
      </c>
      <c r="E298" s="3" t="s">
        <v>27</v>
      </c>
      <c r="F298" s="3" t="s">
        <v>9</v>
      </c>
      <c r="G298" s="3" t="s">
        <v>10</v>
      </c>
      <c r="H298" s="3" t="s">
        <v>29</v>
      </c>
      <c r="I298" s="3" t="s">
        <v>12</v>
      </c>
      <c r="J298" s="3">
        <v>1</v>
      </c>
      <c r="K298" s="5">
        <v>58000</v>
      </c>
      <c r="L298" s="6">
        <v>0</v>
      </c>
      <c r="M298" s="5">
        <v>58000</v>
      </c>
      <c r="N298" s="5">
        <v>39000</v>
      </c>
      <c r="O298" s="3" t="s">
        <v>13</v>
      </c>
      <c r="P298" s="3" t="s">
        <v>14</v>
      </c>
    </row>
    <row r="299" spans="1:16" x14ac:dyDescent="0.25">
      <c r="A299" s="3">
        <v>100298</v>
      </c>
      <c r="B299" s="4">
        <v>46054</v>
      </c>
      <c r="C299" s="3" t="s">
        <v>32</v>
      </c>
      <c r="D299" s="3" t="s">
        <v>16</v>
      </c>
      <c r="E299" s="3" t="s">
        <v>27</v>
      </c>
      <c r="F299" s="3" t="s">
        <v>17</v>
      </c>
      <c r="G299" s="3" t="s">
        <v>28</v>
      </c>
      <c r="H299" s="3" t="s">
        <v>207</v>
      </c>
      <c r="I299" s="3" t="s">
        <v>20</v>
      </c>
      <c r="J299" s="3">
        <v>4</v>
      </c>
      <c r="K299" s="5">
        <v>26000</v>
      </c>
      <c r="L299" s="6">
        <v>0.1</v>
      </c>
      <c r="M299" s="5">
        <v>93600</v>
      </c>
      <c r="N299" s="5">
        <v>15000</v>
      </c>
      <c r="O299" s="3" t="s">
        <v>13</v>
      </c>
      <c r="P299" s="3" t="s">
        <v>44</v>
      </c>
    </row>
    <row r="300" spans="1:16" x14ac:dyDescent="0.25">
      <c r="A300" s="3">
        <v>100299</v>
      </c>
      <c r="B300" s="4">
        <v>46209</v>
      </c>
      <c r="C300" s="3" t="s">
        <v>15</v>
      </c>
      <c r="D300" s="3" t="s">
        <v>16</v>
      </c>
      <c r="E300" s="3" t="s">
        <v>33</v>
      </c>
      <c r="F300" s="3" t="s">
        <v>34</v>
      </c>
      <c r="G300" s="3" t="s">
        <v>55</v>
      </c>
      <c r="H300" s="3" t="s">
        <v>131</v>
      </c>
      <c r="I300" s="3" t="s">
        <v>20</v>
      </c>
      <c r="J300" s="3">
        <v>2</v>
      </c>
      <c r="K300" s="5">
        <v>28000</v>
      </c>
      <c r="L300" s="6">
        <v>0.1</v>
      </c>
      <c r="M300" s="5">
        <v>50400</v>
      </c>
      <c r="N300" s="5">
        <v>16000</v>
      </c>
      <c r="O300" s="3" t="s">
        <v>13</v>
      </c>
      <c r="P300" s="3" t="s">
        <v>21</v>
      </c>
    </row>
    <row r="301" spans="1:16" x14ac:dyDescent="0.25">
      <c r="A301" s="3">
        <v>100300</v>
      </c>
      <c r="B301" s="4">
        <v>46028</v>
      </c>
      <c r="C301" s="3" t="s">
        <v>45</v>
      </c>
      <c r="D301" s="3" t="s">
        <v>46</v>
      </c>
      <c r="E301" s="3" t="s">
        <v>8</v>
      </c>
      <c r="F301" s="3" t="s">
        <v>34</v>
      </c>
      <c r="G301" s="3" t="s">
        <v>35</v>
      </c>
      <c r="H301" s="3" t="s">
        <v>183</v>
      </c>
      <c r="I301" s="3" t="s">
        <v>12</v>
      </c>
      <c r="J301" s="3">
        <v>4</v>
      </c>
      <c r="K301" s="5">
        <v>6500</v>
      </c>
      <c r="L301" s="6">
        <v>0.1</v>
      </c>
      <c r="M301" s="5">
        <v>23400</v>
      </c>
      <c r="N301" s="5">
        <v>2200</v>
      </c>
      <c r="O301" s="3" t="s">
        <v>13</v>
      </c>
      <c r="P301" s="3" t="s">
        <v>21</v>
      </c>
    </row>
    <row r="302" spans="1:16" x14ac:dyDescent="0.25">
      <c r="A302" s="3">
        <v>100301</v>
      </c>
      <c r="B302" s="4">
        <v>46087</v>
      </c>
      <c r="C302" s="3" t="s">
        <v>32</v>
      </c>
      <c r="D302" s="3" t="s">
        <v>16</v>
      </c>
      <c r="E302" s="3" t="s">
        <v>33</v>
      </c>
      <c r="F302" s="3" t="s">
        <v>17</v>
      </c>
      <c r="G302" s="3" t="s">
        <v>28</v>
      </c>
      <c r="H302" s="3" t="s">
        <v>85</v>
      </c>
      <c r="I302" s="3" t="s">
        <v>20</v>
      </c>
      <c r="J302" s="3">
        <v>5</v>
      </c>
      <c r="K302" s="5">
        <v>26000</v>
      </c>
      <c r="L302" s="6">
        <v>0.05</v>
      </c>
      <c r="M302" s="5">
        <v>98800</v>
      </c>
      <c r="N302" s="5">
        <v>15000</v>
      </c>
      <c r="O302" s="3" t="s">
        <v>66</v>
      </c>
      <c r="P302" s="3" t="s">
        <v>74</v>
      </c>
    </row>
    <row r="303" spans="1:16" x14ac:dyDescent="0.25">
      <c r="A303" s="3">
        <v>100302</v>
      </c>
      <c r="B303" s="4">
        <v>46081</v>
      </c>
      <c r="C303" s="3" t="s">
        <v>32</v>
      </c>
      <c r="D303" s="3" t="s">
        <v>16</v>
      </c>
      <c r="E303" s="3" t="s">
        <v>33</v>
      </c>
      <c r="F303" s="3" t="s">
        <v>34</v>
      </c>
      <c r="G303" s="3" t="s">
        <v>55</v>
      </c>
      <c r="H303" s="3" t="s">
        <v>89</v>
      </c>
      <c r="I303" s="3" t="s">
        <v>20</v>
      </c>
      <c r="J303" s="3">
        <v>4</v>
      </c>
      <c r="K303" s="5">
        <v>28000</v>
      </c>
      <c r="L303" s="6">
        <v>0</v>
      </c>
      <c r="M303" s="5">
        <v>112000</v>
      </c>
      <c r="N303" s="5">
        <v>16000</v>
      </c>
      <c r="O303" s="3" t="s">
        <v>13</v>
      </c>
      <c r="P303" s="3" t="s">
        <v>37</v>
      </c>
    </row>
    <row r="304" spans="1:16" x14ac:dyDescent="0.25">
      <c r="A304" s="3">
        <v>100303</v>
      </c>
      <c r="B304" s="4">
        <v>46069</v>
      </c>
      <c r="C304" s="3" t="s">
        <v>40</v>
      </c>
      <c r="D304" s="3" t="s">
        <v>41</v>
      </c>
      <c r="E304" s="3" t="s">
        <v>33</v>
      </c>
      <c r="F304" s="3" t="s">
        <v>34</v>
      </c>
      <c r="G304" s="3" t="s">
        <v>50</v>
      </c>
      <c r="H304" s="3" t="s">
        <v>107</v>
      </c>
      <c r="I304" s="3" t="s">
        <v>20</v>
      </c>
      <c r="J304" s="3">
        <v>2</v>
      </c>
      <c r="K304" s="5">
        <v>9000</v>
      </c>
      <c r="L304" s="6">
        <v>0.1</v>
      </c>
      <c r="M304" s="5">
        <v>16200</v>
      </c>
      <c r="N304" s="5">
        <v>3500</v>
      </c>
      <c r="O304" s="3" t="s">
        <v>13</v>
      </c>
      <c r="P304" s="3" t="s">
        <v>54</v>
      </c>
    </row>
    <row r="305" spans="1:16" x14ac:dyDescent="0.25">
      <c r="A305" s="3">
        <v>100304</v>
      </c>
      <c r="B305" s="4">
        <v>46204</v>
      </c>
      <c r="C305" s="3" t="s">
        <v>25</v>
      </c>
      <c r="D305" s="3" t="s">
        <v>26</v>
      </c>
      <c r="E305" s="3" t="s">
        <v>8</v>
      </c>
      <c r="F305" s="3" t="s">
        <v>9</v>
      </c>
      <c r="G305" s="3" t="s">
        <v>10</v>
      </c>
      <c r="H305" s="3" t="s">
        <v>208</v>
      </c>
      <c r="I305" s="3" t="s">
        <v>12</v>
      </c>
      <c r="J305" s="3">
        <v>5</v>
      </c>
      <c r="K305" s="5">
        <v>58000</v>
      </c>
      <c r="L305" s="6">
        <v>0.1</v>
      </c>
      <c r="M305" s="5">
        <v>261000</v>
      </c>
      <c r="N305" s="5">
        <v>39000</v>
      </c>
      <c r="O305" s="3" t="s">
        <v>13</v>
      </c>
      <c r="P305" s="3" t="s">
        <v>37</v>
      </c>
    </row>
    <row r="306" spans="1:16" x14ac:dyDescent="0.25">
      <c r="A306" s="3">
        <v>100305</v>
      </c>
      <c r="B306" s="4">
        <v>46032</v>
      </c>
      <c r="C306" s="3" t="s">
        <v>15</v>
      </c>
      <c r="D306" s="3" t="s">
        <v>16</v>
      </c>
      <c r="E306" s="3" t="s">
        <v>27</v>
      </c>
      <c r="F306" s="3" t="s">
        <v>17</v>
      </c>
      <c r="G306" s="3" t="s">
        <v>23</v>
      </c>
      <c r="H306" s="3" t="s">
        <v>158</v>
      </c>
      <c r="I306" s="3" t="s">
        <v>20</v>
      </c>
      <c r="J306" s="3">
        <v>2</v>
      </c>
      <c r="K306" s="5">
        <v>32000</v>
      </c>
      <c r="L306" s="6">
        <v>0.05</v>
      </c>
      <c r="M306" s="5">
        <v>60800</v>
      </c>
      <c r="N306" s="5">
        <v>19000</v>
      </c>
      <c r="O306" s="3" t="s">
        <v>13</v>
      </c>
      <c r="P306" s="3" t="s">
        <v>30</v>
      </c>
    </row>
    <row r="307" spans="1:16" x14ac:dyDescent="0.25">
      <c r="A307" s="3">
        <v>100306</v>
      </c>
      <c r="B307" s="4">
        <v>46095</v>
      </c>
      <c r="C307" s="3" t="s">
        <v>45</v>
      </c>
      <c r="D307" s="3" t="s">
        <v>46</v>
      </c>
      <c r="E307" s="3" t="s">
        <v>33</v>
      </c>
      <c r="F307" s="3" t="s">
        <v>34</v>
      </c>
      <c r="G307" s="3" t="s">
        <v>50</v>
      </c>
      <c r="H307" s="3" t="s">
        <v>207</v>
      </c>
      <c r="I307" s="3" t="s">
        <v>12</v>
      </c>
      <c r="J307" s="3">
        <v>1</v>
      </c>
      <c r="K307" s="5">
        <v>9000</v>
      </c>
      <c r="L307" s="6">
        <v>0.15</v>
      </c>
      <c r="M307" s="5">
        <v>7650</v>
      </c>
      <c r="N307" s="5">
        <v>3500</v>
      </c>
      <c r="O307" s="3" t="s">
        <v>13</v>
      </c>
      <c r="P307" s="3" t="s">
        <v>74</v>
      </c>
    </row>
    <row r="308" spans="1:16" x14ac:dyDescent="0.25">
      <c r="A308" s="3">
        <v>100307</v>
      </c>
      <c r="B308" s="4">
        <v>46201</v>
      </c>
      <c r="C308" s="3" t="s">
        <v>40</v>
      </c>
      <c r="D308" s="3" t="s">
        <v>41</v>
      </c>
      <c r="E308" s="3" t="s">
        <v>27</v>
      </c>
      <c r="F308" s="3" t="s">
        <v>17</v>
      </c>
      <c r="G308" s="3" t="s">
        <v>28</v>
      </c>
      <c r="H308" s="3" t="s">
        <v>209</v>
      </c>
      <c r="I308" s="3" t="s">
        <v>12</v>
      </c>
      <c r="J308" s="3">
        <v>3</v>
      </c>
      <c r="K308" s="5">
        <v>26000</v>
      </c>
      <c r="L308" s="6">
        <v>0</v>
      </c>
      <c r="M308" s="5">
        <v>78000</v>
      </c>
      <c r="N308" s="5">
        <v>15000</v>
      </c>
      <c r="O308" s="3" t="s">
        <v>13</v>
      </c>
      <c r="P308" s="3" t="s">
        <v>54</v>
      </c>
    </row>
    <row r="309" spans="1:16" x14ac:dyDescent="0.25">
      <c r="A309" s="3">
        <v>100308</v>
      </c>
      <c r="B309" s="4">
        <v>46238</v>
      </c>
      <c r="C309" s="3" t="s">
        <v>32</v>
      </c>
      <c r="D309" s="3" t="s">
        <v>16</v>
      </c>
      <c r="E309" s="3" t="s">
        <v>27</v>
      </c>
      <c r="F309" s="3" t="s">
        <v>9</v>
      </c>
      <c r="G309" s="3" t="s">
        <v>42</v>
      </c>
      <c r="H309" s="3" t="s">
        <v>153</v>
      </c>
      <c r="I309" s="3" t="s">
        <v>20</v>
      </c>
      <c r="J309" s="3">
        <v>1</v>
      </c>
      <c r="K309" s="5">
        <v>42000</v>
      </c>
      <c r="L309" s="6">
        <v>0.05</v>
      </c>
      <c r="M309" s="5">
        <v>39900</v>
      </c>
      <c r="N309" s="5">
        <v>28000</v>
      </c>
      <c r="O309" s="3" t="s">
        <v>13</v>
      </c>
      <c r="P309" s="3" t="s">
        <v>74</v>
      </c>
    </row>
    <row r="310" spans="1:16" x14ac:dyDescent="0.25">
      <c r="A310" s="3">
        <v>100309</v>
      </c>
      <c r="B310" s="4">
        <v>46154</v>
      </c>
      <c r="C310" s="3" t="s">
        <v>32</v>
      </c>
      <c r="D310" s="3" t="s">
        <v>16</v>
      </c>
      <c r="E310" s="3" t="s">
        <v>33</v>
      </c>
      <c r="F310" s="3" t="s">
        <v>34</v>
      </c>
      <c r="G310" s="3" t="s">
        <v>35</v>
      </c>
      <c r="H310" s="3" t="s">
        <v>210</v>
      </c>
      <c r="I310" s="3" t="s">
        <v>12</v>
      </c>
      <c r="J310" s="3">
        <v>3</v>
      </c>
      <c r="K310" s="5">
        <v>6500</v>
      </c>
      <c r="L310" s="6">
        <v>0.15</v>
      </c>
      <c r="M310" s="5">
        <v>16575</v>
      </c>
      <c r="N310" s="5">
        <v>2200</v>
      </c>
      <c r="O310" s="3" t="s">
        <v>13</v>
      </c>
      <c r="P310" s="3" t="s">
        <v>54</v>
      </c>
    </row>
    <row r="311" spans="1:16" x14ac:dyDescent="0.25">
      <c r="A311" s="3">
        <v>100310</v>
      </c>
      <c r="B311" s="4">
        <v>46085</v>
      </c>
      <c r="C311" s="3" t="s">
        <v>15</v>
      </c>
      <c r="D311" s="3" t="s">
        <v>16</v>
      </c>
      <c r="E311" s="3" t="s">
        <v>27</v>
      </c>
      <c r="F311" s="3" t="s">
        <v>17</v>
      </c>
      <c r="G311" s="3" t="s">
        <v>23</v>
      </c>
      <c r="H311" s="3" t="s">
        <v>56</v>
      </c>
      <c r="I311" s="3" t="s">
        <v>12</v>
      </c>
      <c r="J311" s="3">
        <v>4</v>
      </c>
      <c r="K311" s="5">
        <v>32000</v>
      </c>
      <c r="L311" s="6">
        <v>0.1</v>
      </c>
      <c r="M311" s="5">
        <v>115200</v>
      </c>
      <c r="N311" s="5">
        <v>19000</v>
      </c>
      <c r="O311" s="3" t="s">
        <v>13</v>
      </c>
      <c r="P311" s="3" t="s">
        <v>54</v>
      </c>
    </row>
    <row r="312" spans="1:16" x14ac:dyDescent="0.25">
      <c r="A312" s="3">
        <v>100311</v>
      </c>
      <c r="B312" s="4">
        <v>46175</v>
      </c>
      <c r="C312" s="3" t="s">
        <v>22</v>
      </c>
      <c r="D312" s="3" t="s">
        <v>7</v>
      </c>
      <c r="E312" s="3" t="s">
        <v>27</v>
      </c>
      <c r="F312" s="3" t="s">
        <v>211</v>
      </c>
      <c r="G312" s="3" t="s">
        <v>35</v>
      </c>
      <c r="H312" s="3" t="s">
        <v>118</v>
      </c>
      <c r="I312" s="3" t="s">
        <v>20</v>
      </c>
      <c r="J312" s="3">
        <v>1</v>
      </c>
      <c r="K312" s="5">
        <v>6500</v>
      </c>
      <c r="L312" s="6">
        <v>0.05</v>
      </c>
      <c r="M312" s="5">
        <v>6175</v>
      </c>
      <c r="N312" s="3"/>
      <c r="O312" s="3" t="s">
        <v>13</v>
      </c>
      <c r="P312" s="3" t="s">
        <v>74</v>
      </c>
    </row>
    <row r="313" spans="1:16" x14ac:dyDescent="0.25">
      <c r="A313" s="3">
        <v>100312</v>
      </c>
      <c r="B313" s="4">
        <v>46080</v>
      </c>
      <c r="C313" s="3" t="s">
        <v>32</v>
      </c>
      <c r="D313" s="3" t="s">
        <v>16</v>
      </c>
      <c r="E313" s="3" t="s">
        <v>33</v>
      </c>
      <c r="F313" s="3" t="s">
        <v>17</v>
      </c>
      <c r="G313" s="3" t="s">
        <v>23</v>
      </c>
      <c r="H313" s="3" t="s">
        <v>38</v>
      </c>
      <c r="I313" s="3" t="s">
        <v>12</v>
      </c>
      <c r="J313" s="3">
        <v>3</v>
      </c>
      <c r="K313" s="5">
        <v>32000</v>
      </c>
      <c r="L313" s="6">
        <v>0.15</v>
      </c>
      <c r="M313" s="5">
        <v>81600</v>
      </c>
      <c r="N313" s="5">
        <v>19000</v>
      </c>
      <c r="O313" s="3" t="s">
        <v>13</v>
      </c>
      <c r="P313" s="3" t="s">
        <v>21</v>
      </c>
    </row>
    <row r="314" spans="1:16" x14ac:dyDescent="0.25">
      <c r="A314" s="3">
        <v>100313</v>
      </c>
      <c r="B314" s="4">
        <v>46241</v>
      </c>
      <c r="C314" s="3" t="s">
        <v>15</v>
      </c>
      <c r="D314" s="3" t="s">
        <v>212</v>
      </c>
      <c r="E314" s="3" t="s">
        <v>33</v>
      </c>
      <c r="F314" s="3" t="s">
        <v>34</v>
      </c>
      <c r="G314" s="3" t="s">
        <v>35</v>
      </c>
      <c r="H314" s="3" t="s">
        <v>136</v>
      </c>
      <c r="I314" s="3" t="s">
        <v>20</v>
      </c>
      <c r="J314" s="3">
        <v>1</v>
      </c>
      <c r="K314" s="5">
        <v>6500</v>
      </c>
      <c r="L314" s="6">
        <v>0.05</v>
      </c>
      <c r="M314" s="5">
        <v>6175</v>
      </c>
      <c r="N314" s="5">
        <v>2200</v>
      </c>
      <c r="O314" s="3" t="s">
        <v>13</v>
      </c>
      <c r="P314" s="3" t="s">
        <v>48</v>
      </c>
    </row>
    <row r="315" spans="1:16" x14ac:dyDescent="0.25">
      <c r="A315" s="3">
        <v>100314</v>
      </c>
      <c r="B315" s="4">
        <v>46106</v>
      </c>
      <c r="C315" s="3" t="s">
        <v>32</v>
      </c>
      <c r="D315" s="3" t="s">
        <v>175</v>
      </c>
      <c r="E315" s="3" t="s">
        <v>33</v>
      </c>
      <c r="F315" s="3" t="s">
        <v>17</v>
      </c>
      <c r="G315" s="3" t="s">
        <v>18</v>
      </c>
      <c r="H315" s="3" t="s">
        <v>132</v>
      </c>
      <c r="I315" s="3" t="s">
        <v>20</v>
      </c>
      <c r="J315" s="3">
        <v>1</v>
      </c>
      <c r="K315" s="5">
        <v>165000</v>
      </c>
      <c r="L315" s="6">
        <v>0.1</v>
      </c>
      <c r="M315" s="5">
        <v>148500</v>
      </c>
      <c r="N315" s="5">
        <v>112000</v>
      </c>
      <c r="O315" s="3" t="s">
        <v>13</v>
      </c>
      <c r="P315" s="3" t="s">
        <v>30</v>
      </c>
    </row>
    <row r="316" spans="1:16" x14ac:dyDescent="0.25">
      <c r="A316" s="3">
        <v>100315</v>
      </c>
      <c r="B316" s="4">
        <v>46118</v>
      </c>
      <c r="C316" s="3" t="s">
        <v>32</v>
      </c>
      <c r="D316" s="3" t="s">
        <v>16</v>
      </c>
      <c r="E316" s="3" t="s">
        <v>8</v>
      </c>
      <c r="F316" s="3" t="s">
        <v>17</v>
      </c>
      <c r="G316" s="3" t="s">
        <v>28</v>
      </c>
      <c r="H316" s="3" t="s">
        <v>182</v>
      </c>
      <c r="I316" s="3" t="s">
        <v>20</v>
      </c>
      <c r="J316" s="3">
        <v>1</v>
      </c>
      <c r="K316" s="5">
        <v>26000</v>
      </c>
      <c r="L316" s="6">
        <v>0</v>
      </c>
      <c r="M316" s="5">
        <v>26000</v>
      </c>
      <c r="N316" s="5">
        <v>15000</v>
      </c>
      <c r="O316" s="3" t="s">
        <v>13</v>
      </c>
      <c r="P316" s="3" t="s">
        <v>14</v>
      </c>
    </row>
    <row r="317" spans="1:16" x14ac:dyDescent="0.25">
      <c r="A317" s="3">
        <v>100316</v>
      </c>
      <c r="B317" s="4">
        <v>46154</v>
      </c>
      <c r="C317" s="3" t="s">
        <v>25</v>
      </c>
      <c r="D317" s="3" t="s">
        <v>26</v>
      </c>
      <c r="E317" s="3" t="s">
        <v>27</v>
      </c>
      <c r="F317" s="3" t="s">
        <v>17</v>
      </c>
      <c r="G317" s="3" t="s">
        <v>23</v>
      </c>
      <c r="H317" s="3" t="s">
        <v>60</v>
      </c>
      <c r="I317" s="3" t="s">
        <v>12</v>
      </c>
      <c r="J317" s="3">
        <v>5</v>
      </c>
      <c r="K317" s="5">
        <v>32000</v>
      </c>
      <c r="L317" s="6">
        <v>0</v>
      </c>
      <c r="M317" s="5">
        <v>160000</v>
      </c>
      <c r="N317" s="5">
        <v>19000</v>
      </c>
      <c r="O317" s="3" t="s">
        <v>13</v>
      </c>
      <c r="P317" s="3" t="s">
        <v>14</v>
      </c>
    </row>
    <row r="318" spans="1:16" x14ac:dyDescent="0.25">
      <c r="A318" s="3">
        <v>100317</v>
      </c>
      <c r="B318" s="4">
        <v>46212</v>
      </c>
      <c r="C318" s="3" t="s">
        <v>40</v>
      </c>
      <c r="D318" s="3" t="s">
        <v>41</v>
      </c>
      <c r="E318" s="3" t="s">
        <v>33</v>
      </c>
      <c r="F318" s="3" t="s">
        <v>9</v>
      </c>
      <c r="G318" s="3" t="s">
        <v>52</v>
      </c>
      <c r="H318" s="3" t="s">
        <v>209</v>
      </c>
      <c r="I318" s="3" t="s">
        <v>20</v>
      </c>
      <c r="J318" s="3">
        <v>1</v>
      </c>
      <c r="K318" s="5">
        <v>24000</v>
      </c>
      <c r="L318" s="6">
        <v>0.05</v>
      </c>
      <c r="M318" s="5">
        <v>22800</v>
      </c>
      <c r="N318" s="5">
        <v>15000</v>
      </c>
      <c r="O318" s="3" t="s">
        <v>13</v>
      </c>
      <c r="P318" s="3" t="s">
        <v>21</v>
      </c>
    </row>
    <row r="319" spans="1:16" x14ac:dyDescent="0.25">
      <c r="A319" s="3">
        <v>100318</v>
      </c>
      <c r="B319" s="4">
        <v>46179</v>
      </c>
      <c r="C319" s="3" t="s">
        <v>25</v>
      </c>
      <c r="D319" s="3" t="s">
        <v>26</v>
      </c>
      <c r="E319" s="3" t="s">
        <v>33</v>
      </c>
      <c r="F319" s="3" t="s">
        <v>9</v>
      </c>
      <c r="G319" s="3" t="s">
        <v>10</v>
      </c>
      <c r="H319" s="3" t="s">
        <v>213</v>
      </c>
      <c r="I319" s="3" t="s">
        <v>20</v>
      </c>
      <c r="J319" s="3">
        <v>2</v>
      </c>
      <c r="K319" s="5">
        <v>58000</v>
      </c>
      <c r="L319" s="6">
        <v>0.05</v>
      </c>
      <c r="M319" s="5">
        <v>110200</v>
      </c>
      <c r="N319" s="5">
        <v>39000</v>
      </c>
      <c r="O319" s="3" t="s">
        <v>13</v>
      </c>
      <c r="P319" s="3" t="s">
        <v>30</v>
      </c>
    </row>
    <row r="320" spans="1:16" x14ac:dyDescent="0.25">
      <c r="A320" s="3">
        <v>100319</v>
      </c>
      <c r="B320" s="4">
        <v>46040</v>
      </c>
      <c r="C320" s="3" t="s">
        <v>6</v>
      </c>
      <c r="D320" s="3" t="s">
        <v>7</v>
      </c>
      <c r="E320" s="3" t="s">
        <v>33</v>
      </c>
      <c r="F320" s="3" t="s">
        <v>34</v>
      </c>
      <c r="G320" s="3" t="s">
        <v>55</v>
      </c>
      <c r="H320" s="3" t="s">
        <v>115</v>
      </c>
      <c r="I320" s="3" t="s">
        <v>12</v>
      </c>
      <c r="J320" s="3">
        <v>4</v>
      </c>
      <c r="K320" s="5">
        <v>28000</v>
      </c>
      <c r="L320" s="6">
        <v>0.15</v>
      </c>
      <c r="M320" s="5">
        <v>95200</v>
      </c>
      <c r="N320" s="5">
        <v>16000</v>
      </c>
      <c r="O320" s="3" t="s">
        <v>13</v>
      </c>
      <c r="P320" s="3" t="s">
        <v>48</v>
      </c>
    </row>
    <row r="321" spans="1:16" x14ac:dyDescent="0.25">
      <c r="A321" s="3">
        <v>100320</v>
      </c>
      <c r="B321" s="4">
        <v>46093</v>
      </c>
      <c r="C321" s="3" t="s">
        <v>22</v>
      </c>
      <c r="D321" s="3" t="s">
        <v>7</v>
      </c>
      <c r="E321" s="3" t="s">
        <v>33</v>
      </c>
      <c r="F321" s="3" t="s">
        <v>17</v>
      </c>
      <c r="G321" s="3" t="s">
        <v>23</v>
      </c>
      <c r="H321" s="3" t="s">
        <v>58</v>
      </c>
      <c r="I321" s="3" t="s">
        <v>20</v>
      </c>
      <c r="J321" s="3">
        <v>2</v>
      </c>
      <c r="K321" s="5">
        <v>32000</v>
      </c>
      <c r="L321" s="6">
        <v>0.2</v>
      </c>
      <c r="M321" s="5">
        <v>51200</v>
      </c>
      <c r="N321" s="5">
        <v>19000</v>
      </c>
      <c r="O321" s="3" t="s">
        <v>13</v>
      </c>
      <c r="P321" s="3" t="s">
        <v>44</v>
      </c>
    </row>
    <row r="322" spans="1:16" x14ac:dyDescent="0.25">
      <c r="A322" s="3">
        <v>100321</v>
      </c>
      <c r="B322" s="4">
        <v>46084</v>
      </c>
      <c r="C322" s="3" t="s">
        <v>15</v>
      </c>
      <c r="D322" s="3" t="s">
        <v>16</v>
      </c>
      <c r="E322" s="3" t="s">
        <v>33</v>
      </c>
      <c r="F322" s="3" t="s">
        <v>17</v>
      </c>
      <c r="G322" s="3" t="s">
        <v>18</v>
      </c>
      <c r="H322" s="3" t="s">
        <v>104</v>
      </c>
      <c r="I322" s="3" t="s">
        <v>20</v>
      </c>
      <c r="J322" s="3">
        <v>2</v>
      </c>
      <c r="K322" s="5">
        <v>165000</v>
      </c>
      <c r="L322" s="6">
        <v>0</v>
      </c>
      <c r="M322" s="5">
        <v>330000</v>
      </c>
      <c r="N322" s="5">
        <v>112000</v>
      </c>
      <c r="O322" s="3" t="s">
        <v>13</v>
      </c>
      <c r="P322" s="3" t="s">
        <v>21</v>
      </c>
    </row>
    <row r="323" spans="1:16" x14ac:dyDescent="0.25">
      <c r="A323" s="3">
        <v>100322</v>
      </c>
      <c r="B323" s="4">
        <v>46187</v>
      </c>
      <c r="C323" s="3" t="s">
        <v>32</v>
      </c>
      <c r="D323" s="3" t="s">
        <v>16</v>
      </c>
      <c r="E323" s="3" t="s">
        <v>27</v>
      </c>
      <c r="F323" s="3" t="s">
        <v>9</v>
      </c>
      <c r="G323" s="3" t="s">
        <v>52</v>
      </c>
      <c r="H323" s="3" t="s">
        <v>167</v>
      </c>
      <c r="I323" s="3" t="s">
        <v>12</v>
      </c>
      <c r="J323" s="3">
        <v>1</v>
      </c>
      <c r="K323" s="5">
        <v>24000</v>
      </c>
      <c r="L323" s="6">
        <v>0.1</v>
      </c>
      <c r="M323" s="5">
        <v>21600</v>
      </c>
      <c r="N323" s="5">
        <v>15000</v>
      </c>
      <c r="O323" s="3" t="s">
        <v>13</v>
      </c>
      <c r="P323" s="3" t="s">
        <v>30</v>
      </c>
    </row>
    <row r="324" spans="1:16" x14ac:dyDescent="0.25">
      <c r="A324" s="3">
        <v>100323</v>
      </c>
      <c r="B324" s="4">
        <v>46079</v>
      </c>
      <c r="C324" s="3" t="s">
        <v>40</v>
      </c>
      <c r="D324" s="3" t="s">
        <v>41</v>
      </c>
      <c r="E324" s="3" t="s">
        <v>8</v>
      </c>
      <c r="F324" s="3" t="s">
        <v>17</v>
      </c>
      <c r="G324" s="3" t="s">
        <v>18</v>
      </c>
      <c r="H324" s="3" t="s">
        <v>125</v>
      </c>
      <c r="I324" s="3" t="s">
        <v>20</v>
      </c>
      <c r="J324" s="3">
        <v>2</v>
      </c>
      <c r="K324" s="5">
        <v>165000</v>
      </c>
      <c r="L324" s="6">
        <v>0</v>
      </c>
      <c r="M324" s="5">
        <v>330000</v>
      </c>
      <c r="N324" s="5">
        <v>112000</v>
      </c>
      <c r="O324" s="3" t="s">
        <v>13</v>
      </c>
      <c r="P324" s="3" t="s">
        <v>14</v>
      </c>
    </row>
    <row r="325" spans="1:16" x14ac:dyDescent="0.25">
      <c r="A325" s="3">
        <v>100324</v>
      </c>
      <c r="B325" s="4">
        <v>46038</v>
      </c>
      <c r="C325" s="3" t="s">
        <v>40</v>
      </c>
      <c r="D325" s="3" t="s">
        <v>41</v>
      </c>
      <c r="E325" s="3" t="s">
        <v>33</v>
      </c>
      <c r="F325" s="3" t="s">
        <v>17</v>
      </c>
      <c r="G325" s="3" t="s">
        <v>18</v>
      </c>
      <c r="H325" s="3" t="s">
        <v>194</v>
      </c>
      <c r="I325" s="3" t="s">
        <v>12</v>
      </c>
      <c r="J325" s="3">
        <v>3</v>
      </c>
      <c r="K325" s="5">
        <v>165000</v>
      </c>
      <c r="L325" s="6">
        <v>0.1</v>
      </c>
      <c r="M325" s="5">
        <v>445500</v>
      </c>
      <c r="N325" s="5">
        <v>112000</v>
      </c>
      <c r="O325" s="3" t="s">
        <v>13</v>
      </c>
      <c r="P325" s="3" t="s">
        <v>48</v>
      </c>
    </row>
    <row r="326" spans="1:16" x14ac:dyDescent="0.25">
      <c r="A326" s="3">
        <v>100325</v>
      </c>
      <c r="B326" s="4">
        <v>46251</v>
      </c>
      <c r="C326" s="3" t="s">
        <v>25</v>
      </c>
      <c r="D326" s="3" t="s">
        <v>26</v>
      </c>
      <c r="E326" s="3" t="s">
        <v>8</v>
      </c>
      <c r="F326" s="3" t="s">
        <v>9</v>
      </c>
      <c r="G326" s="3" t="s">
        <v>42</v>
      </c>
      <c r="H326" s="3" t="s">
        <v>170</v>
      </c>
      <c r="I326" s="3" t="s">
        <v>20</v>
      </c>
      <c r="J326" s="3">
        <v>3</v>
      </c>
      <c r="K326" s="5">
        <v>42000</v>
      </c>
      <c r="L326" s="6">
        <v>0.05</v>
      </c>
      <c r="M326" s="5">
        <v>119700</v>
      </c>
      <c r="N326" s="5">
        <v>28000</v>
      </c>
      <c r="O326" s="3" t="s">
        <v>13</v>
      </c>
      <c r="P326" s="3" t="s">
        <v>14</v>
      </c>
    </row>
    <row r="327" spans="1:16" x14ac:dyDescent="0.25">
      <c r="A327" s="3">
        <v>100326</v>
      </c>
      <c r="B327" s="4">
        <v>46165</v>
      </c>
      <c r="C327" s="3" t="s">
        <v>40</v>
      </c>
      <c r="D327" s="3" t="s">
        <v>41</v>
      </c>
      <c r="E327" s="3" t="s">
        <v>27</v>
      </c>
      <c r="F327" s="3" t="s">
        <v>17</v>
      </c>
      <c r="G327" s="3" t="s">
        <v>23</v>
      </c>
      <c r="H327" s="3" t="s">
        <v>187</v>
      </c>
      <c r="I327" s="3" t="s">
        <v>20</v>
      </c>
      <c r="J327" s="3">
        <v>5</v>
      </c>
      <c r="K327" s="5">
        <v>32000</v>
      </c>
      <c r="L327" s="6">
        <v>0.05</v>
      </c>
      <c r="M327" s="5">
        <v>152000</v>
      </c>
      <c r="N327" s="5">
        <v>19000</v>
      </c>
      <c r="O327" s="3" t="s">
        <v>13</v>
      </c>
      <c r="P327" s="3" t="s">
        <v>30</v>
      </c>
    </row>
    <row r="328" spans="1:16" x14ac:dyDescent="0.25">
      <c r="A328" s="3">
        <v>100327</v>
      </c>
      <c r="B328" s="4">
        <v>46141</v>
      </c>
      <c r="C328" s="3" t="s">
        <v>32</v>
      </c>
      <c r="D328" s="3" t="s">
        <v>16</v>
      </c>
      <c r="E328" s="3" t="s">
        <v>33</v>
      </c>
      <c r="F328" s="3" t="s">
        <v>17</v>
      </c>
      <c r="G328" s="3" t="s">
        <v>28</v>
      </c>
      <c r="H328" s="3" t="s">
        <v>58</v>
      </c>
      <c r="I328" s="3" t="s">
        <v>12</v>
      </c>
      <c r="J328" s="3">
        <v>1</v>
      </c>
      <c r="K328" s="5">
        <v>26000</v>
      </c>
      <c r="L328" s="6">
        <v>0.1</v>
      </c>
      <c r="M328" s="5">
        <v>23400</v>
      </c>
      <c r="N328" s="5">
        <v>15000</v>
      </c>
      <c r="O328" s="3" t="s">
        <v>13</v>
      </c>
      <c r="P328" s="3" t="s">
        <v>21</v>
      </c>
    </row>
    <row r="329" spans="1:16" x14ac:dyDescent="0.25">
      <c r="A329" s="3">
        <v>100328</v>
      </c>
      <c r="B329" s="4">
        <v>46144</v>
      </c>
      <c r="C329" s="3" t="s">
        <v>25</v>
      </c>
      <c r="D329" s="3" t="s">
        <v>26</v>
      </c>
      <c r="E329" s="3" t="s">
        <v>8</v>
      </c>
      <c r="F329" s="3" t="s">
        <v>9</v>
      </c>
      <c r="G329" s="3" t="s">
        <v>42</v>
      </c>
      <c r="H329" s="3" t="s">
        <v>214</v>
      </c>
      <c r="I329" s="3" t="s">
        <v>20</v>
      </c>
      <c r="J329" s="3">
        <v>1</v>
      </c>
      <c r="K329" s="5">
        <v>42000</v>
      </c>
      <c r="L329" s="6">
        <v>0.05</v>
      </c>
      <c r="M329" s="5">
        <v>39900</v>
      </c>
      <c r="N329" s="5">
        <v>28000</v>
      </c>
      <c r="O329" s="3" t="s">
        <v>13</v>
      </c>
      <c r="P329" s="3" t="s">
        <v>30</v>
      </c>
    </row>
    <row r="330" spans="1:16" x14ac:dyDescent="0.25">
      <c r="A330" s="3">
        <v>100329</v>
      </c>
      <c r="B330" s="4">
        <v>46023</v>
      </c>
      <c r="C330" s="3" t="s">
        <v>40</v>
      </c>
      <c r="D330" s="3" t="s">
        <v>41</v>
      </c>
      <c r="E330" s="3" t="s">
        <v>8</v>
      </c>
      <c r="F330" s="3" t="s">
        <v>17</v>
      </c>
      <c r="G330" s="3" t="s">
        <v>23</v>
      </c>
      <c r="H330" s="3" t="s">
        <v>118</v>
      </c>
      <c r="I330" s="3" t="s">
        <v>20</v>
      </c>
      <c r="J330" s="3">
        <v>2</v>
      </c>
      <c r="K330" s="5">
        <v>32000</v>
      </c>
      <c r="L330" s="6">
        <v>0</v>
      </c>
      <c r="M330" s="5">
        <v>64000</v>
      </c>
      <c r="N330" s="5">
        <v>19000</v>
      </c>
      <c r="O330" s="3" t="s">
        <v>66</v>
      </c>
      <c r="P330" s="3" t="s">
        <v>44</v>
      </c>
    </row>
    <row r="331" spans="1:16" x14ac:dyDescent="0.25">
      <c r="A331" s="3">
        <v>100330</v>
      </c>
      <c r="B331" s="4">
        <v>46153</v>
      </c>
      <c r="C331" s="3" t="s">
        <v>32</v>
      </c>
      <c r="D331" s="3" t="s">
        <v>16</v>
      </c>
      <c r="E331" s="3" t="s">
        <v>33</v>
      </c>
      <c r="F331" s="3" t="s">
        <v>9</v>
      </c>
      <c r="G331" s="3" t="s">
        <v>10</v>
      </c>
      <c r="H331" s="3" t="s">
        <v>65</v>
      </c>
      <c r="I331" s="3" t="s">
        <v>12</v>
      </c>
      <c r="J331" s="3">
        <v>2</v>
      </c>
      <c r="K331" s="5">
        <v>58000</v>
      </c>
      <c r="L331" s="6">
        <v>0.1</v>
      </c>
      <c r="M331" s="5">
        <v>104400</v>
      </c>
      <c r="N331" s="5">
        <v>39000</v>
      </c>
      <c r="O331" s="3" t="s">
        <v>13</v>
      </c>
      <c r="P331" s="3" t="s">
        <v>48</v>
      </c>
    </row>
    <row r="332" spans="1:16" x14ac:dyDescent="0.25">
      <c r="A332" s="3">
        <v>100331</v>
      </c>
      <c r="B332" s="4">
        <v>46070</v>
      </c>
      <c r="C332" s="3" t="s">
        <v>25</v>
      </c>
      <c r="D332" s="3" t="s">
        <v>26</v>
      </c>
      <c r="E332" s="3" t="s">
        <v>27</v>
      </c>
      <c r="F332" s="3" t="s">
        <v>34</v>
      </c>
      <c r="G332" s="3" t="s">
        <v>50</v>
      </c>
      <c r="H332" s="3" t="s">
        <v>83</v>
      </c>
      <c r="I332" s="3" t="s">
        <v>20</v>
      </c>
      <c r="J332" s="3">
        <v>1</v>
      </c>
      <c r="K332" s="5">
        <v>9000</v>
      </c>
      <c r="L332" s="6">
        <v>0.05</v>
      </c>
      <c r="M332" s="5">
        <v>8550</v>
      </c>
      <c r="N332" s="3"/>
      <c r="O332" s="3" t="s">
        <v>13</v>
      </c>
      <c r="P332" s="3" t="s">
        <v>14</v>
      </c>
    </row>
    <row r="333" spans="1:16" x14ac:dyDescent="0.25">
      <c r="A333" s="3">
        <v>100332</v>
      </c>
      <c r="B333" s="4">
        <v>46100</v>
      </c>
      <c r="C333" s="3" t="s">
        <v>22</v>
      </c>
      <c r="D333" s="3" t="s">
        <v>7</v>
      </c>
      <c r="E333" s="3" t="s">
        <v>33</v>
      </c>
      <c r="F333" s="3" t="s">
        <v>17</v>
      </c>
      <c r="G333" s="3" t="s">
        <v>23</v>
      </c>
      <c r="H333" s="3" t="s">
        <v>108</v>
      </c>
      <c r="I333" s="3" t="s">
        <v>12</v>
      </c>
      <c r="J333" s="3">
        <v>1</v>
      </c>
      <c r="K333" s="5">
        <v>32000</v>
      </c>
      <c r="L333" s="6">
        <v>0.05</v>
      </c>
      <c r="M333" s="5">
        <v>30400</v>
      </c>
      <c r="N333" s="5">
        <v>19000</v>
      </c>
      <c r="O333" s="3" t="s">
        <v>13</v>
      </c>
      <c r="P333" s="3" t="s">
        <v>48</v>
      </c>
    </row>
    <row r="334" spans="1:16" x14ac:dyDescent="0.25">
      <c r="A334" s="3">
        <v>100333</v>
      </c>
      <c r="B334" s="4">
        <v>46027</v>
      </c>
      <c r="C334" s="3" t="s">
        <v>22</v>
      </c>
      <c r="D334" s="3" t="s">
        <v>7</v>
      </c>
      <c r="E334" s="3" t="s">
        <v>27</v>
      </c>
      <c r="F334" s="3" t="s">
        <v>17</v>
      </c>
      <c r="G334" s="3" t="s">
        <v>23</v>
      </c>
      <c r="H334" s="3" t="s">
        <v>84</v>
      </c>
      <c r="I334" s="3" t="s">
        <v>12</v>
      </c>
      <c r="J334" s="3">
        <v>5</v>
      </c>
      <c r="K334" s="5">
        <v>32000</v>
      </c>
      <c r="L334" s="6">
        <v>0.1</v>
      </c>
      <c r="M334" s="5">
        <v>144000</v>
      </c>
      <c r="N334" s="5">
        <v>19000</v>
      </c>
      <c r="O334" s="3" t="s">
        <v>13</v>
      </c>
      <c r="P334" s="3" t="s">
        <v>30</v>
      </c>
    </row>
    <row r="335" spans="1:16" x14ac:dyDescent="0.25">
      <c r="A335" s="3">
        <v>100334</v>
      </c>
      <c r="B335" s="4">
        <v>46219</v>
      </c>
      <c r="C335" s="3" t="s">
        <v>15</v>
      </c>
      <c r="D335" s="3" t="s">
        <v>16</v>
      </c>
      <c r="E335" s="3" t="s">
        <v>33</v>
      </c>
      <c r="F335" s="3" t="s">
        <v>34</v>
      </c>
      <c r="G335" s="3" t="s">
        <v>50</v>
      </c>
      <c r="H335" s="3" t="s">
        <v>214</v>
      </c>
      <c r="I335" s="3" t="s">
        <v>20</v>
      </c>
      <c r="J335" s="3">
        <v>1</v>
      </c>
      <c r="K335" s="5">
        <v>9000</v>
      </c>
      <c r="L335" s="6">
        <v>0</v>
      </c>
      <c r="M335" s="5">
        <v>9000</v>
      </c>
      <c r="N335" s="5">
        <v>3500</v>
      </c>
      <c r="O335" s="3" t="s">
        <v>13</v>
      </c>
      <c r="P335" s="3" t="s">
        <v>30</v>
      </c>
    </row>
    <row r="336" spans="1:16" x14ac:dyDescent="0.25">
      <c r="A336" s="3">
        <v>100335</v>
      </c>
      <c r="B336" s="4">
        <v>46026</v>
      </c>
      <c r="C336" s="3" t="s">
        <v>40</v>
      </c>
      <c r="D336" s="3" t="s">
        <v>41</v>
      </c>
      <c r="E336" s="3" t="s">
        <v>27</v>
      </c>
      <c r="F336" s="3" t="s">
        <v>17</v>
      </c>
      <c r="G336" s="3" t="s">
        <v>23</v>
      </c>
      <c r="H336" s="3" t="s">
        <v>158</v>
      </c>
      <c r="I336" s="3" t="s">
        <v>12</v>
      </c>
      <c r="J336" s="3">
        <v>1</v>
      </c>
      <c r="K336" s="5">
        <v>32000</v>
      </c>
      <c r="L336" s="6">
        <v>0.1</v>
      </c>
      <c r="M336" s="5">
        <v>28800</v>
      </c>
      <c r="N336" s="5">
        <v>19000</v>
      </c>
      <c r="O336" s="3" t="s">
        <v>13</v>
      </c>
      <c r="P336" s="3" t="s">
        <v>74</v>
      </c>
    </row>
    <row r="337" spans="1:16" x14ac:dyDescent="0.25">
      <c r="A337" s="3">
        <v>100336</v>
      </c>
      <c r="B337" s="4">
        <v>46085</v>
      </c>
      <c r="C337" s="3" t="s">
        <v>40</v>
      </c>
      <c r="D337" s="3" t="s">
        <v>41</v>
      </c>
      <c r="E337" s="3" t="s">
        <v>8</v>
      </c>
      <c r="F337" s="3" t="s">
        <v>17</v>
      </c>
      <c r="G337" s="3" t="s">
        <v>18</v>
      </c>
      <c r="H337" s="3" t="s">
        <v>215</v>
      </c>
      <c r="I337" s="3" t="s">
        <v>20</v>
      </c>
      <c r="J337" s="3">
        <v>2</v>
      </c>
      <c r="K337" s="5">
        <v>165000</v>
      </c>
      <c r="L337" s="6">
        <v>0.15</v>
      </c>
      <c r="M337" s="5">
        <v>280500</v>
      </c>
      <c r="N337" s="5">
        <v>112000</v>
      </c>
      <c r="O337" s="3" t="s">
        <v>13</v>
      </c>
      <c r="P337" s="3" t="s">
        <v>44</v>
      </c>
    </row>
    <row r="338" spans="1:16" x14ac:dyDescent="0.25">
      <c r="A338" s="3">
        <v>100337</v>
      </c>
      <c r="B338" s="4">
        <v>46085</v>
      </c>
      <c r="C338" s="3" t="s">
        <v>25</v>
      </c>
      <c r="D338" s="3" t="s">
        <v>26</v>
      </c>
      <c r="E338" s="3" t="s">
        <v>33</v>
      </c>
      <c r="F338" s="3" t="s">
        <v>34</v>
      </c>
      <c r="G338" s="3" t="s">
        <v>35</v>
      </c>
      <c r="H338" s="3" t="s">
        <v>111</v>
      </c>
      <c r="I338" s="3" t="s">
        <v>12</v>
      </c>
      <c r="J338" s="3">
        <v>3</v>
      </c>
      <c r="K338" s="5">
        <v>6500</v>
      </c>
      <c r="L338" s="6">
        <v>0.15</v>
      </c>
      <c r="M338" s="5">
        <v>16575</v>
      </c>
      <c r="N338" s="5">
        <v>2200</v>
      </c>
      <c r="O338" s="3" t="s">
        <v>13</v>
      </c>
      <c r="P338" s="3" t="s">
        <v>14</v>
      </c>
    </row>
    <row r="339" spans="1:16" x14ac:dyDescent="0.25">
      <c r="A339" s="3">
        <v>100338</v>
      </c>
      <c r="B339" s="4">
        <v>46112</v>
      </c>
      <c r="C339" s="3" t="s">
        <v>15</v>
      </c>
      <c r="D339" s="3" t="s">
        <v>16</v>
      </c>
      <c r="E339" s="3" t="s">
        <v>33</v>
      </c>
      <c r="F339" s="3" t="s">
        <v>9</v>
      </c>
      <c r="G339" s="3" t="s">
        <v>52</v>
      </c>
      <c r="H339" s="3" t="s">
        <v>98</v>
      </c>
      <c r="I339" s="3" t="s">
        <v>12</v>
      </c>
      <c r="J339" s="3">
        <v>2</v>
      </c>
      <c r="K339" s="5">
        <v>24000</v>
      </c>
      <c r="L339" s="6">
        <v>0.15</v>
      </c>
      <c r="M339" s="5">
        <v>40800</v>
      </c>
      <c r="N339" s="5">
        <v>15000</v>
      </c>
      <c r="O339" s="3" t="s">
        <v>13</v>
      </c>
      <c r="P339" s="3" t="s">
        <v>74</v>
      </c>
    </row>
    <row r="340" spans="1:16" x14ac:dyDescent="0.25">
      <c r="A340" s="3">
        <v>100339</v>
      </c>
      <c r="B340" s="4">
        <v>46057</v>
      </c>
      <c r="C340" s="3" t="s">
        <v>15</v>
      </c>
      <c r="D340" s="3" t="s">
        <v>16</v>
      </c>
      <c r="E340" s="3" t="s">
        <v>33</v>
      </c>
      <c r="F340" s="3" t="s">
        <v>17</v>
      </c>
      <c r="G340" s="3" t="s">
        <v>28</v>
      </c>
      <c r="H340" s="3" t="s">
        <v>189</v>
      </c>
      <c r="I340" s="3" t="s">
        <v>12</v>
      </c>
      <c r="J340" s="3">
        <v>2</v>
      </c>
      <c r="K340" s="5">
        <v>26000</v>
      </c>
      <c r="L340" s="6">
        <v>0.05</v>
      </c>
      <c r="M340" s="5">
        <v>49400</v>
      </c>
      <c r="N340" s="5">
        <v>15000</v>
      </c>
      <c r="O340" s="3" t="s">
        <v>13</v>
      </c>
      <c r="P340" s="3" t="s">
        <v>30</v>
      </c>
    </row>
    <row r="341" spans="1:16" x14ac:dyDescent="0.25">
      <c r="A341" s="3">
        <v>100340</v>
      </c>
      <c r="B341" s="4">
        <v>46106</v>
      </c>
      <c r="C341" s="3" t="s">
        <v>22</v>
      </c>
      <c r="D341" s="3" t="s">
        <v>7</v>
      </c>
      <c r="E341" s="3" t="s">
        <v>27</v>
      </c>
      <c r="F341" s="3" t="s">
        <v>17</v>
      </c>
      <c r="G341" s="3" t="s">
        <v>18</v>
      </c>
      <c r="H341" s="3" t="s">
        <v>51</v>
      </c>
      <c r="I341" s="3" t="s">
        <v>20</v>
      </c>
      <c r="J341" s="3">
        <v>1</v>
      </c>
      <c r="K341" s="5">
        <v>165000</v>
      </c>
      <c r="L341" s="6">
        <v>0.15</v>
      </c>
      <c r="M341" s="5">
        <v>140250</v>
      </c>
      <c r="N341" s="5">
        <v>112000</v>
      </c>
      <c r="O341" s="3" t="s">
        <v>13</v>
      </c>
      <c r="P341" s="3" t="s">
        <v>54</v>
      </c>
    </row>
    <row r="342" spans="1:16" x14ac:dyDescent="0.25">
      <c r="A342" s="3">
        <v>100341</v>
      </c>
      <c r="B342" s="4">
        <v>46181</v>
      </c>
      <c r="C342" s="3" t="s">
        <v>15</v>
      </c>
      <c r="D342" s="3" t="s">
        <v>175</v>
      </c>
      <c r="E342" s="3" t="s">
        <v>33</v>
      </c>
      <c r="F342" s="3" t="s">
        <v>17</v>
      </c>
      <c r="G342" s="3" t="s">
        <v>18</v>
      </c>
      <c r="H342" s="3" t="s">
        <v>216</v>
      </c>
      <c r="I342" s="3" t="s">
        <v>20</v>
      </c>
      <c r="J342" s="3">
        <v>3</v>
      </c>
      <c r="K342" s="5">
        <v>165000</v>
      </c>
      <c r="L342" s="6">
        <v>0</v>
      </c>
      <c r="M342" s="5">
        <v>495000</v>
      </c>
      <c r="N342" s="5">
        <v>112000</v>
      </c>
      <c r="O342" s="3" t="s">
        <v>13</v>
      </c>
      <c r="P342" s="3" t="s">
        <v>14</v>
      </c>
    </row>
    <row r="343" spans="1:16" x14ac:dyDescent="0.25">
      <c r="A343" s="3">
        <v>100342</v>
      </c>
      <c r="B343" s="4">
        <v>46053</v>
      </c>
      <c r="C343" s="3" t="s">
        <v>22</v>
      </c>
      <c r="D343" s="3" t="s">
        <v>7</v>
      </c>
      <c r="E343" s="3" t="s">
        <v>33</v>
      </c>
      <c r="F343" s="3" t="s">
        <v>17</v>
      </c>
      <c r="G343" s="3" t="s">
        <v>23</v>
      </c>
      <c r="H343" s="3" t="s">
        <v>195</v>
      </c>
      <c r="I343" s="3" t="s">
        <v>20</v>
      </c>
      <c r="J343" s="3">
        <v>4</v>
      </c>
      <c r="K343" s="5">
        <v>32000</v>
      </c>
      <c r="L343" s="6">
        <v>0</v>
      </c>
      <c r="M343" s="5">
        <v>128000</v>
      </c>
      <c r="N343" s="3"/>
      <c r="O343" s="3" t="s">
        <v>13</v>
      </c>
      <c r="P343" s="3" t="s">
        <v>54</v>
      </c>
    </row>
    <row r="344" spans="1:16" x14ac:dyDescent="0.25">
      <c r="A344" s="3">
        <v>100343</v>
      </c>
      <c r="B344" s="4">
        <v>46217</v>
      </c>
      <c r="C344" s="3" t="s">
        <v>25</v>
      </c>
      <c r="D344" s="3" t="s">
        <v>26</v>
      </c>
      <c r="E344" s="3" t="s">
        <v>33</v>
      </c>
      <c r="F344" s="3" t="s">
        <v>17</v>
      </c>
      <c r="G344" s="3" t="s">
        <v>18</v>
      </c>
      <c r="H344" s="3" t="s">
        <v>172</v>
      </c>
      <c r="I344" s="3" t="s">
        <v>20</v>
      </c>
      <c r="J344" s="3">
        <v>4</v>
      </c>
      <c r="K344" s="5">
        <v>165000</v>
      </c>
      <c r="L344" s="6">
        <v>0</v>
      </c>
      <c r="M344" s="5">
        <v>660000</v>
      </c>
      <c r="N344" s="5">
        <v>112000</v>
      </c>
      <c r="O344" s="3" t="s">
        <v>66</v>
      </c>
      <c r="P344" s="3" t="s">
        <v>44</v>
      </c>
    </row>
    <row r="345" spans="1:16" x14ac:dyDescent="0.25">
      <c r="A345" s="3">
        <v>100344</v>
      </c>
      <c r="B345" s="4">
        <v>46253</v>
      </c>
      <c r="C345" s="3" t="s">
        <v>40</v>
      </c>
      <c r="D345" s="3" t="s">
        <v>41</v>
      </c>
      <c r="E345" s="3" t="s">
        <v>27</v>
      </c>
      <c r="F345" s="3" t="s">
        <v>9</v>
      </c>
      <c r="G345" s="3" t="s">
        <v>52</v>
      </c>
      <c r="H345" s="3" t="s">
        <v>116</v>
      </c>
      <c r="I345" s="3" t="s">
        <v>12</v>
      </c>
      <c r="J345" s="3">
        <v>2</v>
      </c>
      <c r="K345" s="5">
        <v>24000</v>
      </c>
      <c r="L345" s="6">
        <v>0.1</v>
      </c>
      <c r="M345" s="5">
        <v>43200</v>
      </c>
      <c r="N345" s="5">
        <v>15000</v>
      </c>
      <c r="O345" s="3" t="s">
        <v>13</v>
      </c>
      <c r="P345" s="3" t="s">
        <v>37</v>
      </c>
    </row>
    <row r="346" spans="1:16" x14ac:dyDescent="0.25">
      <c r="A346" s="3">
        <v>100345</v>
      </c>
      <c r="B346" s="4">
        <v>46038</v>
      </c>
      <c r="C346" s="3" t="s">
        <v>15</v>
      </c>
      <c r="D346" s="3" t="s">
        <v>16</v>
      </c>
      <c r="E346" s="3" t="s">
        <v>33</v>
      </c>
      <c r="F346" s="3" t="s">
        <v>9</v>
      </c>
      <c r="G346" s="3" t="s">
        <v>10</v>
      </c>
      <c r="H346" s="3" t="s">
        <v>59</v>
      </c>
      <c r="I346" s="3" t="s">
        <v>20</v>
      </c>
      <c r="J346" s="3">
        <v>2</v>
      </c>
      <c r="K346" s="5">
        <v>58000</v>
      </c>
      <c r="L346" s="6">
        <v>0.15</v>
      </c>
      <c r="M346" s="5">
        <v>98600</v>
      </c>
      <c r="N346" s="5">
        <v>39000</v>
      </c>
      <c r="O346" s="3" t="s">
        <v>13</v>
      </c>
      <c r="P346" s="3" t="s">
        <v>14</v>
      </c>
    </row>
    <row r="347" spans="1:16" x14ac:dyDescent="0.25">
      <c r="A347" s="3">
        <v>100346</v>
      </c>
      <c r="B347" s="4">
        <v>46065</v>
      </c>
      <c r="C347" s="3" t="s">
        <v>22</v>
      </c>
      <c r="D347" s="3" t="s">
        <v>7</v>
      </c>
      <c r="E347" s="3" t="s">
        <v>33</v>
      </c>
      <c r="F347" s="3" t="s">
        <v>34</v>
      </c>
      <c r="G347" s="3" t="s">
        <v>50</v>
      </c>
      <c r="H347" s="3" t="s">
        <v>193</v>
      </c>
      <c r="I347" s="3" t="s">
        <v>20</v>
      </c>
      <c r="J347" s="3">
        <v>2</v>
      </c>
      <c r="K347" s="5">
        <v>9000</v>
      </c>
      <c r="L347" s="6">
        <v>0.15</v>
      </c>
      <c r="M347" s="5">
        <v>15300</v>
      </c>
      <c r="N347" s="5">
        <v>3500</v>
      </c>
      <c r="O347" s="3" t="s">
        <v>13</v>
      </c>
      <c r="P347" s="3" t="s">
        <v>54</v>
      </c>
    </row>
    <row r="348" spans="1:16" x14ac:dyDescent="0.25">
      <c r="A348" s="3">
        <v>100347</v>
      </c>
      <c r="B348" s="4">
        <v>46074</v>
      </c>
      <c r="C348" s="3" t="s">
        <v>25</v>
      </c>
      <c r="D348" s="3" t="s">
        <v>26</v>
      </c>
      <c r="E348" s="3" t="s">
        <v>33</v>
      </c>
      <c r="F348" s="3" t="s">
        <v>17</v>
      </c>
      <c r="G348" s="3" t="s">
        <v>23</v>
      </c>
      <c r="H348" s="3" t="s">
        <v>217</v>
      </c>
      <c r="I348" s="3" t="s">
        <v>20</v>
      </c>
      <c r="J348" s="3">
        <v>3</v>
      </c>
      <c r="K348" s="5">
        <v>32000</v>
      </c>
      <c r="L348" s="6">
        <v>0</v>
      </c>
      <c r="M348" s="5">
        <v>96000</v>
      </c>
      <c r="N348" s="5">
        <v>19000</v>
      </c>
      <c r="O348" s="3" t="s">
        <v>13</v>
      </c>
      <c r="P348" s="3" t="s">
        <v>14</v>
      </c>
    </row>
    <row r="349" spans="1:16" x14ac:dyDescent="0.25">
      <c r="A349" s="3">
        <v>100348</v>
      </c>
      <c r="B349" s="4">
        <v>46225</v>
      </c>
      <c r="C349" s="3" t="s">
        <v>25</v>
      </c>
      <c r="D349" s="3" t="s">
        <v>26</v>
      </c>
      <c r="E349" s="3" t="s">
        <v>33</v>
      </c>
      <c r="F349" s="3" t="s">
        <v>9</v>
      </c>
      <c r="G349" s="3" t="s">
        <v>52</v>
      </c>
      <c r="H349" s="3" t="s">
        <v>161</v>
      </c>
      <c r="I349" s="3" t="s">
        <v>20</v>
      </c>
      <c r="J349" s="3">
        <v>5</v>
      </c>
      <c r="K349" s="5">
        <v>24000</v>
      </c>
      <c r="L349" s="6">
        <v>0.05</v>
      </c>
      <c r="M349" s="5">
        <v>114000</v>
      </c>
      <c r="N349" s="5">
        <v>15000</v>
      </c>
      <c r="O349" s="3" t="s">
        <v>13</v>
      </c>
      <c r="P349" s="3" t="s">
        <v>14</v>
      </c>
    </row>
    <row r="350" spans="1:16" x14ac:dyDescent="0.25">
      <c r="A350" s="3">
        <v>100349</v>
      </c>
      <c r="B350" s="4">
        <v>46141</v>
      </c>
      <c r="C350" s="3" t="s">
        <v>40</v>
      </c>
      <c r="D350" s="3" t="s">
        <v>41</v>
      </c>
      <c r="E350" s="3" t="s">
        <v>33</v>
      </c>
      <c r="F350" s="3" t="s">
        <v>17</v>
      </c>
      <c r="G350" s="3" t="s">
        <v>23</v>
      </c>
      <c r="H350" s="3" t="s">
        <v>120</v>
      </c>
      <c r="I350" s="3" t="s">
        <v>20</v>
      </c>
      <c r="J350" s="3">
        <v>2</v>
      </c>
      <c r="K350" s="5">
        <v>32000</v>
      </c>
      <c r="L350" s="6">
        <v>0.15</v>
      </c>
      <c r="M350" s="5">
        <v>54400</v>
      </c>
      <c r="N350" s="5">
        <v>19000</v>
      </c>
      <c r="O350" s="3" t="s">
        <v>13</v>
      </c>
      <c r="P350" s="3" t="s">
        <v>74</v>
      </c>
    </row>
    <row r="351" spans="1:16" x14ac:dyDescent="0.25">
      <c r="A351" s="3">
        <v>100350</v>
      </c>
      <c r="B351" s="4">
        <v>46170</v>
      </c>
      <c r="C351" s="3" t="s">
        <v>15</v>
      </c>
      <c r="D351" s="3" t="s">
        <v>16</v>
      </c>
      <c r="E351" s="3" t="s">
        <v>33</v>
      </c>
      <c r="F351" s="3" t="s">
        <v>9</v>
      </c>
      <c r="G351" s="3" t="s">
        <v>42</v>
      </c>
      <c r="H351" s="3" t="s">
        <v>131</v>
      </c>
      <c r="I351" s="3" t="s">
        <v>12</v>
      </c>
      <c r="J351" s="3">
        <v>3</v>
      </c>
      <c r="K351" s="5">
        <v>42000</v>
      </c>
      <c r="L351" s="6">
        <v>0.15</v>
      </c>
      <c r="M351" s="5">
        <v>96390</v>
      </c>
      <c r="N351" s="5">
        <v>28000</v>
      </c>
      <c r="O351" s="3" t="s">
        <v>13</v>
      </c>
      <c r="P351" s="3" t="s">
        <v>44</v>
      </c>
    </row>
    <row r="352" spans="1:16" x14ac:dyDescent="0.25">
      <c r="A352" s="3">
        <v>100351</v>
      </c>
      <c r="B352" s="4">
        <v>46040</v>
      </c>
      <c r="C352" s="3" t="s">
        <v>25</v>
      </c>
      <c r="D352" s="3" t="s">
        <v>26</v>
      </c>
      <c r="E352" s="3" t="s">
        <v>33</v>
      </c>
      <c r="F352" s="3" t="s">
        <v>17</v>
      </c>
      <c r="G352" s="3" t="s">
        <v>23</v>
      </c>
      <c r="H352" s="3" t="s">
        <v>24</v>
      </c>
      <c r="I352" s="3" t="s">
        <v>12</v>
      </c>
      <c r="J352" s="3">
        <v>2</v>
      </c>
      <c r="K352" s="5">
        <v>32000</v>
      </c>
      <c r="L352" s="6">
        <v>0.1</v>
      </c>
      <c r="M352" s="5">
        <v>57600</v>
      </c>
      <c r="N352" s="5">
        <v>19000</v>
      </c>
      <c r="O352" s="3" t="s">
        <v>13</v>
      </c>
      <c r="P352" s="3" t="s">
        <v>37</v>
      </c>
    </row>
    <row r="353" spans="1:16" x14ac:dyDescent="0.25">
      <c r="A353" s="3">
        <v>100352</v>
      </c>
      <c r="B353" s="4">
        <v>46134</v>
      </c>
      <c r="C353" s="3" t="s">
        <v>15</v>
      </c>
      <c r="D353" s="3" t="s">
        <v>16</v>
      </c>
      <c r="E353" s="3" t="s">
        <v>27</v>
      </c>
      <c r="F353" s="3" t="s">
        <v>17</v>
      </c>
      <c r="G353" s="3" t="s">
        <v>23</v>
      </c>
      <c r="H353" s="3" t="s">
        <v>72</v>
      </c>
      <c r="I353" s="3" t="s">
        <v>12</v>
      </c>
      <c r="J353" s="3">
        <v>2</v>
      </c>
      <c r="K353" s="5">
        <v>32000</v>
      </c>
      <c r="L353" s="6">
        <v>0.15</v>
      </c>
      <c r="M353" s="5">
        <v>54400</v>
      </c>
      <c r="N353" s="5">
        <v>19000</v>
      </c>
      <c r="O353" s="3" t="s">
        <v>13</v>
      </c>
      <c r="P353" s="3" t="s">
        <v>37</v>
      </c>
    </row>
    <row r="354" spans="1:16" x14ac:dyDescent="0.25">
      <c r="A354" s="3">
        <v>100353</v>
      </c>
      <c r="B354" s="4">
        <v>46203</v>
      </c>
      <c r="C354" s="3" t="s">
        <v>22</v>
      </c>
      <c r="D354" s="3" t="s">
        <v>7</v>
      </c>
      <c r="E354" s="3" t="s">
        <v>27</v>
      </c>
      <c r="F354" s="3" t="s">
        <v>34</v>
      </c>
      <c r="G354" s="3" t="s">
        <v>55</v>
      </c>
      <c r="H354" s="3" t="s">
        <v>135</v>
      </c>
      <c r="I354" s="3" t="s">
        <v>12</v>
      </c>
      <c r="J354" s="3">
        <v>1</v>
      </c>
      <c r="K354" s="5">
        <v>28000</v>
      </c>
      <c r="L354" s="6">
        <v>0.15</v>
      </c>
      <c r="M354" s="5">
        <v>23800</v>
      </c>
      <c r="N354" s="3"/>
      <c r="O354" s="3" t="s">
        <v>13</v>
      </c>
      <c r="P354" s="3" t="s">
        <v>37</v>
      </c>
    </row>
    <row r="355" spans="1:16" x14ac:dyDescent="0.25">
      <c r="A355" s="3">
        <v>100354</v>
      </c>
      <c r="B355" s="4">
        <v>46037</v>
      </c>
      <c r="C355" s="3" t="s">
        <v>40</v>
      </c>
      <c r="D355" s="3" t="s">
        <v>41</v>
      </c>
      <c r="E355" s="3" t="s">
        <v>27</v>
      </c>
      <c r="F355" s="3" t="s">
        <v>34</v>
      </c>
      <c r="G355" s="3" t="s">
        <v>50</v>
      </c>
      <c r="H355" s="3" t="s">
        <v>138</v>
      </c>
      <c r="I355" s="3" t="s">
        <v>20</v>
      </c>
      <c r="J355" s="3">
        <v>1</v>
      </c>
      <c r="K355" s="5">
        <v>9000</v>
      </c>
      <c r="L355" s="6">
        <v>0.15</v>
      </c>
      <c r="M355" s="5">
        <v>7650</v>
      </c>
      <c r="N355" s="5">
        <v>3500</v>
      </c>
      <c r="O355" s="3" t="s">
        <v>13</v>
      </c>
      <c r="P355" s="3" t="s">
        <v>44</v>
      </c>
    </row>
    <row r="356" spans="1:16" x14ac:dyDescent="0.25">
      <c r="A356" s="3">
        <v>100355</v>
      </c>
      <c r="B356" s="4">
        <v>46099</v>
      </c>
      <c r="C356" s="3" t="s">
        <v>32</v>
      </c>
      <c r="D356" s="3" t="s">
        <v>16</v>
      </c>
      <c r="E356" s="3" t="s">
        <v>27</v>
      </c>
      <c r="F356" s="3" t="s">
        <v>9</v>
      </c>
      <c r="G356" s="3" t="s">
        <v>42</v>
      </c>
      <c r="H356" s="3" t="s">
        <v>218</v>
      </c>
      <c r="I356" s="3" t="s">
        <v>20</v>
      </c>
      <c r="J356" s="3">
        <v>18</v>
      </c>
      <c r="K356" s="5">
        <v>42000</v>
      </c>
      <c r="L356" s="6">
        <v>0.1</v>
      </c>
      <c r="M356" s="5">
        <v>680400</v>
      </c>
      <c r="N356" s="5">
        <v>28000</v>
      </c>
      <c r="O356" s="3" t="s">
        <v>13</v>
      </c>
      <c r="P356" s="3" t="s">
        <v>21</v>
      </c>
    </row>
    <row r="357" spans="1:16" x14ac:dyDescent="0.25">
      <c r="A357" s="3">
        <v>100356</v>
      </c>
      <c r="B357" s="4">
        <v>46116</v>
      </c>
      <c r="C357" s="3" t="s">
        <v>40</v>
      </c>
      <c r="D357" s="3" t="s">
        <v>41</v>
      </c>
      <c r="E357" s="3" t="s">
        <v>27</v>
      </c>
      <c r="F357" s="3" t="s">
        <v>9</v>
      </c>
      <c r="G357" s="3" t="s">
        <v>10</v>
      </c>
      <c r="H357" s="3" t="s">
        <v>182</v>
      </c>
      <c r="I357" s="3" t="s">
        <v>20</v>
      </c>
      <c r="J357" s="3">
        <v>4</v>
      </c>
      <c r="K357" s="5">
        <v>58000</v>
      </c>
      <c r="L357" s="6">
        <v>0</v>
      </c>
      <c r="M357" s="5">
        <v>232000</v>
      </c>
      <c r="N357" s="5">
        <v>39000</v>
      </c>
      <c r="O357" s="3" t="s">
        <v>13</v>
      </c>
      <c r="P357" s="3" t="s">
        <v>37</v>
      </c>
    </row>
    <row r="358" spans="1:16" x14ac:dyDescent="0.25">
      <c r="A358" s="3">
        <v>100357</v>
      </c>
      <c r="B358" s="4">
        <v>46226</v>
      </c>
      <c r="C358" s="3" t="s">
        <v>6</v>
      </c>
      <c r="D358" s="3" t="s">
        <v>7</v>
      </c>
      <c r="E358" s="3" t="s">
        <v>33</v>
      </c>
      <c r="F358" s="3" t="s">
        <v>17</v>
      </c>
      <c r="G358" s="3" t="s">
        <v>28</v>
      </c>
      <c r="H358" s="3" t="s">
        <v>193</v>
      </c>
      <c r="I358" s="3" t="s">
        <v>20</v>
      </c>
      <c r="J358" s="3">
        <v>1</v>
      </c>
      <c r="K358" s="5">
        <v>26000</v>
      </c>
      <c r="L358" s="6">
        <v>0.2</v>
      </c>
      <c r="M358" s="5">
        <v>20800</v>
      </c>
      <c r="N358" s="3"/>
      <c r="O358" s="3" t="s">
        <v>13</v>
      </c>
      <c r="P358" s="3" t="s">
        <v>48</v>
      </c>
    </row>
    <row r="359" spans="1:16" x14ac:dyDescent="0.25">
      <c r="A359" s="3">
        <v>100358</v>
      </c>
      <c r="B359" s="4">
        <v>46151</v>
      </c>
      <c r="C359" s="3" t="s">
        <v>6</v>
      </c>
      <c r="D359" s="3" t="s">
        <v>7</v>
      </c>
      <c r="E359" s="3" t="s">
        <v>27</v>
      </c>
      <c r="F359" s="3" t="s">
        <v>17</v>
      </c>
      <c r="G359" s="3" t="s">
        <v>28</v>
      </c>
      <c r="H359" s="3" t="s">
        <v>106</v>
      </c>
      <c r="I359" s="3" t="s">
        <v>20</v>
      </c>
      <c r="J359" s="3">
        <v>2</v>
      </c>
      <c r="K359" s="5">
        <v>26000</v>
      </c>
      <c r="L359" s="6">
        <v>0.1</v>
      </c>
      <c r="M359" s="5">
        <v>46800</v>
      </c>
      <c r="N359" s="5">
        <v>15000</v>
      </c>
      <c r="O359" s="3" t="s">
        <v>66</v>
      </c>
      <c r="P359" s="3" t="s">
        <v>37</v>
      </c>
    </row>
    <row r="360" spans="1:16" x14ac:dyDescent="0.25">
      <c r="A360" s="3">
        <v>100359</v>
      </c>
      <c r="B360" s="4">
        <v>46246</v>
      </c>
      <c r="C360" s="3" t="s">
        <v>6</v>
      </c>
      <c r="D360" s="3" t="s">
        <v>7</v>
      </c>
      <c r="E360" s="3" t="s">
        <v>27</v>
      </c>
      <c r="F360" s="3" t="s">
        <v>34</v>
      </c>
      <c r="G360" s="3" t="s">
        <v>55</v>
      </c>
      <c r="H360" s="3" t="s">
        <v>219</v>
      </c>
      <c r="I360" s="3" t="s">
        <v>12</v>
      </c>
      <c r="J360" s="3">
        <v>1</v>
      </c>
      <c r="K360" s="5">
        <v>28000</v>
      </c>
      <c r="L360" s="6">
        <v>0</v>
      </c>
      <c r="M360" s="5">
        <v>28000</v>
      </c>
      <c r="N360" s="3"/>
      <c r="O360" s="3" t="s">
        <v>13</v>
      </c>
      <c r="P360" s="3" t="s">
        <v>44</v>
      </c>
    </row>
    <row r="361" spans="1:16" x14ac:dyDescent="0.25">
      <c r="A361" s="3">
        <v>100360</v>
      </c>
      <c r="B361" s="4">
        <v>46204</v>
      </c>
      <c r="C361" s="3" t="s">
        <v>25</v>
      </c>
      <c r="D361" s="3" t="s">
        <v>26</v>
      </c>
      <c r="E361" s="3" t="s">
        <v>27</v>
      </c>
      <c r="F361" s="3" t="s">
        <v>9</v>
      </c>
      <c r="G361" s="3" t="s">
        <v>42</v>
      </c>
      <c r="H361" s="3" t="s">
        <v>160</v>
      </c>
      <c r="I361" s="3" t="s">
        <v>20</v>
      </c>
      <c r="J361" s="3">
        <v>1</v>
      </c>
      <c r="K361" s="5">
        <v>42000</v>
      </c>
      <c r="L361" s="6">
        <v>0.15</v>
      </c>
      <c r="M361" s="5">
        <v>35700</v>
      </c>
      <c r="N361" s="5">
        <v>28000</v>
      </c>
      <c r="O361" s="3" t="s">
        <v>13</v>
      </c>
      <c r="P361" s="3" t="s">
        <v>21</v>
      </c>
    </row>
    <row r="362" spans="1:16" x14ac:dyDescent="0.25">
      <c r="A362" s="3">
        <v>100361</v>
      </c>
      <c r="B362" s="4">
        <v>46028</v>
      </c>
      <c r="C362" s="3" t="s">
        <v>40</v>
      </c>
      <c r="D362" s="3" t="s">
        <v>41</v>
      </c>
      <c r="E362" s="3" t="s">
        <v>27</v>
      </c>
      <c r="F362" s="3" t="s">
        <v>34</v>
      </c>
      <c r="G362" s="3" t="s">
        <v>35</v>
      </c>
      <c r="H362" s="3" t="s">
        <v>220</v>
      </c>
      <c r="I362" s="3" t="s">
        <v>12</v>
      </c>
      <c r="J362" s="3">
        <v>2</v>
      </c>
      <c r="K362" s="5">
        <v>6500</v>
      </c>
      <c r="L362" s="6">
        <v>0.05</v>
      </c>
      <c r="M362" s="5">
        <v>12350</v>
      </c>
      <c r="N362" s="5">
        <v>2200</v>
      </c>
      <c r="O362" s="3" t="s">
        <v>13</v>
      </c>
      <c r="P362" s="3" t="s">
        <v>74</v>
      </c>
    </row>
    <row r="363" spans="1:16" x14ac:dyDescent="0.25">
      <c r="A363" s="3">
        <v>100362</v>
      </c>
      <c r="B363" s="4">
        <v>46105</v>
      </c>
      <c r="C363" s="3" t="s">
        <v>32</v>
      </c>
      <c r="D363" s="3" t="s">
        <v>16</v>
      </c>
      <c r="E363" s="3" t="s">
        <v>27</v>
      </c>
      <c r="F363" s="3" t="s">
        <v>34</v>
      </c>
      <c r="G363" s="3" t="s">
        <v>50</v>
      </c>
      <c r="H363" s="3" t="s">
        <v>221</v>
      </c>
      <c r="I363" s="3" t="s">
        <v>12</v>
      </c>
      <c r="J363" s="3">
        <v>4</v>
      </c>
      <c r="K363" s="5">
        <v>9000</v>
      </c>
      <c r="L363" s="6">
        <v>0.15</v>
      </c>
      <c r="M363" s="5">
        <v>30600</v>
      </c>
      <c r="N363" s="5">
        <v>3500</v>
      </c>
      <c r="O363" s="3" t="s">
        <v>13</v>
      </c>
      <c r="P363" s="3" t="s">
        <v>54</v>
      </c>
    </row>
    <row r="364" spans="1:16" x14ac:dyDescent="0.25">
      <c r="A364" s="3">
        <v>100363</v>
      </c>
      <c r="B364" s="4">
        <v>46193</v>
      </c>
      <c r="C364" s="3" t="s">
        <v>40</v>
      </c>
      <c r="D364" s="3" t="s">
        <v>41</v>
      </c>
      <c r="E364" s="3" t="s">
        <v>33</v>
      </c>
      <c r="F364" s="3" t="s">
        <v>9</v>
      </c>
      <c r="G364" s="3" t="s">
        <v>52</v>
      </c>
      <c r="H364" s="3" t="s">
        <v>97</v>
      </c>
      <c r="I364" s="3" t="s">
        <v>20</v>
      </c>
      <c r="J364" s="3">
        <v>2</v>
      </c>
      <c r="K364" s="5">
        <v>24000</v>
      </c>
      <c r="L364" s="6">
        <v>0.1</v>
      </c>
      <c r="M364" s="5">
        <v>43200</v>
      </c>
      <c r="N364" s="5">
        <v>15000</v>
      </c>
      <c r="O364" s="3" t="s">
        <v>13</v>
      </c>
      <c r="P364" s="3" t="s">
        <v>54</v>
      </c>
    </row>
    <row r="365" spans="1:16" x14ac:dyDescent="0.25">
      <c r="A365" s="3">
        <v>100364</v>
      </c>
      <c r="B365" s="4">
        <v>46226</v>
      </c>
      <c r="C365" s="3" t="s">
        <v>22</v>
      </c>
      <c r="D365" s="3" t="s">
        <v>7</v>
      </c>
      <c r="E365" s="3" t="s">
        <v>33</v>
      </c>
      <c r="F365" s="3" t="s">
        <v>9</v>
      </c>
      <c r="G365" s="3" t="s">
        <v>52</v>
      </c>
      <c r="H365" s="3" t="s">
        <v>222</v>
      </c>
      <c r="I365" s="3" t="s">
        <v>20</v>
      </c>
      <c r="J365" s="3">
        <v>2</v>
      </c>
      <c r="K365" s="5">
        <v>24000</v>
      </c>
      <c r="L365" s="6">
        <v>0.25</v>
      </c>
      <c r="M365" s="5">
        <v>36000</v>
      </c>
      <c r="N365" s="5">
        <v>15000</v>
      </c>
      <c r="O365" s="3" t="s">
        <v>66</v>
      </c>
      <c r="P365" s="3" t="s">
        <v>44</v>
      </c>
    </row>
    <row r="366" spans="1:16" x14ac:dyDescent="0.25">
      <c r="A366" s="3">
        <v>100365</v>
      </c>
      <c r="B366" s="4">
        <v>46195</v>
      </c>
      <c r="C366" s="3" t="s">
        <v>40</v>
      </c>
      <c r="D366" s="3" t="s">
        <v>41</v>
      </c>
      <c r="E366" s="3" t="s">
        <v>8</v>
      </c>
      <c r="F366" s="3" t="s">
        <v>17</v>
      </c>
      <c r="G366" s="3" t="s">
        <v>18</v>
      </c>
      <c r="H366" s="3" t="s">
        <v>85</v>
      </c>
      <c r="I366" s="3" t="s">
        <v>20</v>
      </c>
      <c r="J366" s="3">
        <v>4</v>
      </c>
      <c r="K366" s="5">
        <v>165000</v>
      </c>
      <c r="L366" s="6">
        <v>0.05</v>
      </c>
      <c r="M366" s="5">
        <v>627000</v>
      </c>
      <c r="N366" s="5">
        <v>112000</v>
      </c>
      <c r="O366" s="3" t="s">
        <v>13</v>
      </c>
      <c r="P366" s="3" t="s">
        <v>14</v>
      </c>
    </row>
    <row r="367" spans="1:16" x14ac:dyDescent="0.25">
      <c r="A367" s="3">
        <v>100366</v>
      </c>
      <c r="B367" s="4">
        <v>46222</v>
      </c>
      <c r="C367" s="3" t="s">
        <v>22</v>
      </c>
      <c r="D367" s="3" t="s">
        <v>7</v>
      </c>
      <c r="E367" s="3" t="s">
        <v>8</v>
      </c>
      <c r="F367" s="3" t="s">
        <v>9</v>
      </c>
      <c r="G367" s="3" t="s">
        <v>52</v>
      </c>
      <c r="H367" s="3" t="s">
        <v>194</v>
      </c>
      <c r="I367" s="3" t="s">
        <v>20</v>
      </c>
      <c r="J367" s="3">
        <v>1</v>
      </c>
      <c r="K367" s="5">
        <v>24000</v>
      </c>
      <c r="L367" s="6">
        <v>0.25</v>
      </c>
      <c r="M367" s="5">
        <v>18000</v>
      </c>
      <c r="N367" s="5">
        <v>15000</v>
      </c>
      <c r="O367" s="3" t="s">
        <v>66</v>
      </c>
      <c r="P367" s="3" t="s">
        <v>37</v>
      </c>
    </row>
    <row r="368" spans="1:16" x14ac:dyDescent="0.25">
      <c r="A368" s="3">
        <v>100367</v>
      </c>
      <c r="B368" s="4">
        <v>46225</v>
      </c>
      <c r="C368" s="3" t="s">
        <v>25</v>
      </c>
      <c r="D368" s="3" t="s">
        <v>26</v>
      </c>
      <c r="E368" s="3" t="s">
        <v>33</v>
      </c>
      <c r="F368" s="3" t="s">
        <v>34</v>
      </c>
      <c r="G368" s="3" t="s">
        <v>50</v>
      </c>
      <c r="H368" s="3" t="s">
        <v>96</v>
      </c>
      <c r="I368" s="3" t="s">
        <v>20</v>
      </c>
      <c r="J368" s="3">
        <v>2</v>
      </c>
      <c r="K368" s="5">
        <v>9000</v>
      </c>
      <c r="L368" s="6">
        <v>0</v>
      </c>
      <c r="M368" s="5">
        <v>18000</v>
      </c>
      <c r="N368" s="5">
        <v>3500</v>
      </c>
      <c r="O368" s="3" t="s">
        <v>13</v>
      </c>
      <c r="P368" s="3" t="s">
        <v>21</v>
      </c>
    </row>
    <row r="369" spans="1:16" x14ac:dyDescent="0.25">
      <c r="A369" s="3">
        <v>100368</v>
      </c>
      <c r="B369" s="4">
        <v>46216</v>
      </c>
      <c r="C369" s="3" t="s">
        <v>32</v>
      </c>
      <c r="D369" s="3" t="s">
        <v>16</v>
      </c>
      <c r="E369" s="3" t="s">
        <v>33</v>
      </c>
      <c r="F369" s="3" t="s">
        <v>34</v>
      </c>
      <c r="G369" s="3" t="s">
        <v>35</v>
      </c>
      <c r="H369" s="3" t="s">
        <v>169</v>
      </c>
      <c r="I369" s="3" t="s">
        <v>20</v>
      </c>
      <c r="J369" s="3">
        <v>4</v>
      </c>
      <c r="K369" s="5">
        <v>6500</v>
      </c>
      <c r="L369" s="6">
        <v>0.05</v>
      </c>
      <c r="M369" s="5">
        <v>24700</v>
      </c>
      <c r="N369" s="5">
        <v>2200</v>
      </c>
      <c r="O369" s="3" t="s">
        <v>13</v>
      </c>
      <c r="P369" s="3" t="s">
        <v>37</v>
      </c>
    </row>
    <row r="370" spans="1:16" x14ac:dyDescent="0.25">
      <c r="A370" s="3">
        <v>100369</v>
      </c>
      <c r="B370" s="4">
        <v>46193</v>
      </c>
      <c r="C370" s="3" t="s">
        <v>25</v>
      </c>
      <c r="D370" s="3" t="s">
        <v>26</v>
      </c>
      <c r="E370" s="3" t="s">
        <v>8</v>
      </c>
      <c r="F370" s="3" t="s">
        <v>17</v>
      </c>
      <c r="G370" s="3" t="s">
        <v>28</v>
      </c>
      <c r="H370" s="3" t="s">
        <v>169</v>
      </c>
      <c r="I370" s="3" t="s">
        <v>20</v>
      </c>
      <c r="J370" s="3">
        <v>2</v>
      </c>
      <c r="K370" s="5">
        <v>26000</v>
      </c>
      <c r="L370" s="6">
        <v>0.05</v>
      </c>
      <c r="M370" s="5">
        <v>59280</v>
      </c>
      <c r="N370" s="5">
        <v>15000</v>
      </c>
      <c r="O370" s="3" t="s">
        <v>13</v>
      </c>
      <c r="P370" s="3" t="s">
        <v>37</v>
      </c>
    </row>
    <row r="371" spans="1:16" x14ac:dyDescent="0.25">
      <c r="A371" s="3">
        <v>100370</v>
      </c>
      <c r="B371" s="4">
        <v>46185</v>
      </c>
      <c r="C371" s="3" t="s">
        <v>15</v>
      </c>
      <c r="D371" s="3" t="s">
        <v>16</v>
      </c>
      <c r="E371" s="3" t="s">
        <v>8</v>
      </c>
      <c r="F371" s="3" t="s">
        <v>9</v>
      </c>
      <c r="G371" s="3" t="s">
        <v>10</v>
      </c>
      <c r="H371" s="3" t="s">
        <v>133</v>
      </c>
      <c r="I371" s="3" t="s">
        <v>20</v>
      </c>
      <c r="J371" s="3">
        <v>1</v>
      </c>
      <c r="K371" s="5">
        <v>58000</v>
      </c>
      <c r="L371" s="6">
        <v>0.1</v>
      </c>
      <c r="M371" s="5">
        <v>52200</v>
      </c>
      <c r="N371" s="5">
        <v>39000</v>
      </c>
      <c r="O371" s="3" t="s">
        <v>13</v>
      </c>
      <c r="P371" s="3" t="s">
        <v>30</v>
      </c>
    </row>
    <row r="372" spans="1:16" x14ac:dyDescent="0.25">
      <c r="A372" s="3">
        <v>100371</v>
      </c>
      <c r="B372" s="4">
        <v>46131</v>
      </c>
      <c r="C372" s="3" t="s">
        <v>40</v>
      </c>
      <c r="D372" s="3" t="s">
        <v>41</v>
      </c>
      <c r="E372" s="3" t="s">
        <v>33</v>
      </c>
      <c r="F372" s="3" t="s">
        <v>9</v>
      </c>
      <c r="G372" s="3" t="s">
        <v>10</v>
      </c>
      <c r="H372" s="3" t="s">
        <v>134</v>
      </c>
      <c r="I372" s="3" t="s">
        <v>12</v>
      </c>
      <c r="J372" s="3">
        <v>3</v>
      </c>
      <c r="K372" s="5">
        <v>58000</v>
      </c>
      <c r="L372" s="6">
        <v>0.1</v>
      </c>
      <c r="M372" s="5">
        <v>156600</v>
      </c>
      <c r="N372" s="5">
        <v>39000</v>
      </c>
      <c r="O372" s="3" t="s">
        <v>13</v>
      </c>
      <c r="P372" s="3" t="s">
        <v>30</v>
      </c>
    </row>
    <row r="373" spans="1:16" x14ac:dyDescent="0.25">
      <c r="A373" s="3">
        <v>100372</v>
      </c>
      <c r="B373" s="4">
        <v>46234</v>
      </c>
      <c r="C373" s="3" t="s">
        <v>22</v>
      </c>
      <c r="D373" s="3" t="s">
        <v>7</v>
      </c>
      <c r="E373" s="3" t="s">
        <v>33</v>
      </c>
      <c r="F373" s="3" t="s">
        <v>9</v>
      </c>
      <c r="G373" s="3" t="s">
        <v>52</v>
      </c>
      <c r="H373" s="3" t="s">
        <v>142</v>
      </c>
      <c r="I373" s="3" t="s">
        <v>20</v>
      </c>
      <c r="J373" s="3">
        <v>1</v>
      </c>
      <c r="K373" s="5">
        <v>24000</v>
      </c>
      <c r="L373" s="6">
        <v>0</v>
      </c>
      <c r="M373" s="5">
        <v>24000</v>
      </c>
      <c r="N373" s="5">
        <v>15000</v>
      </c>
      <c r="O373" s="3" t="s">
        <v>13</v>
      </c>
      <c r="P373" s="3" t="s">
        <v>30</v>
      </c>
    </row>
    <row r="374" spans="1:16" x14ac:dyDescent="0.25">
      <c r="A374" s="3">
        <v>100373</v>
      </c>
      <c r="B374" s="4">
        <v>46075</v>
      </c>
      <c r="C374" s="3" t="s">
        <v>22</v>
      </c>
      <c r="D374" s="3" t="s">
        <v>7</v>
      </c>
      <c r="E374" s="3" t="s">
        <v>33</v>
      </c>
      <c r="F374" s="3" t="s">
        <v>9</v>
      </c>
      <c r="G374" s="3" t="s">
        <v>10</v>
      </c>
      <c r="H374" s="3" t="s">
        <v>189</v>
      </c>
      <c r="I374" s="3" t="s">
        <v>12</v>
      </c>
      <c r="J374" s="3">
        <v>2</v>
      </c>
      <c r="K374" s="5">
        <v>58000</v>
      </c>
      <c r="L374" s="6">
        <v>0.2</v>
      </c>
      <c r="M374" s="5">
        <v>92800</v>
      </c>
      <c r="N374" s="5">
        <v>39000</v>
      </c>
      <c r="O374" s="3" t="s">
        <v>66</v>
      </c>
      <c r="P374" s="3" t="s">
        <v>14</v>
      </c>
    </row>
    <row r="375" spans="1:16" x14ac:dyDescent="0.25">
      <c r="A375" s="3">
        <v>100374</v>
      </c>
      <c r="B375" s="4">
        <v>46112</v>
      </c>
      <c r="C375" s="3" t="s">
        <v>25</v>
      </c>
      <c r="D375" s="3" t="s">
        <v>26</v>
      </c>
      <c r="E375" s="3" t="s">
        <v>27</v>
      </c>
      <c r="F375" s="3" t="s">
        <v>9</v>
      </c>
      <c r="G375" s="3" t="s">
        <v>52</v>
      </c>
      <c r="H375" s="3" t="s">
        <v>82</v>
      </c>
      <c r="I375" s="3" t="s">
        <v>12</v>
      </c>
      <c r="J375" s="3">
        <v>1</v>
      </c>
      <c r="K375" s="5">
        <v>24000</v>
      </c>
      <c r="L375" s="6">
        <v>0.05</v>
      </c>
      <c r="M375" s="5">
        <v>22800</v>
      </c>
      <c r="N375" s="5">
        <v>15000</v>
      </c>
      <c r="O375" s="3" t="s">
        <v>13</v>
      </c>
      <c r="P375" s="3" t="s">
        <v>44</v>
      </c>
    </row>
    <row r="376" spans="1:16" x14ac:dyDescent="0.25">
      <c r="A376" s="3">
        <v>100375</v>
      </c>
      <c r="B376" s="4">
        <v>46026</v>
      </c>
      <c r="C376" s="3" t="s">
        <v>22</v>
      </c>
      <c r="D376" s="3" t="s">
        <v>7</v>
      </c>
      <c r="E376" s="3" t="s">
        <v>33</v>
      </c>
      <c r="F376" s="3" t="s">
        <v>9</v>
      </c>
      <c r="G376" s="3" t="s">
        <v>42</v>
      </c>
      <c r="H376" s="3" t="s">
        <v>179</v>
      </c>
      <c r="I376" s="3" t="s">
        <v>12</v>
      </c>
      <c r="J376" s="3">
        <v>2</v>
      </c>
      <c r="K376" s="5">
        <v>42000</v>
      </c>
      <c r="L376" s="6">
        <v>0.25</v>
      </c>
      <c r="M376" s="5">
        <v>63000</v>
      </c>
      <c r="N376" s="5">
        <v>28000</v>
      </c>
      <c r="O376" s="3" t="s">
        <v>13</v>
      </c>
      <c r="P376" s="3" t="s">
        <v>14</v>
      </c>
    </row>
    <row r="377" spans="1:16" x14ac:dyDescent="0.25">
      <c r="A377" s="3">
        <v>100376</v>
      </c>
      <c r="B377" s="4">
        <v>46050</v>
      </c>
      <c r="C377" s="3" t="s">
        <v>25</v>
      </c>
      <c r="D377" s="3" t="s">
        <v>26</v>
      </c>
      <c r="E377" s="3" t="s">
        <v>33</v>
      </c>
      <c r="F377" s="3" t="s">
        <v>17</v>
      </c>
      <c r="G377" s="3" t="s">
        <v>18</v>
      </c>
      <c r="H377" s="3" t="s">
        <v>223</v>
      </c>
      <c r="I377" s="3" t="s">
        <v>12</v>
      </c>
      <c r="J377" s="3">
        <v>1</v>
      </c>
      <c r="K377" s="5">
        <v>165000</v>
      </c>
      <c r="L377" s="6">
        <v>0.1</v>
      </c>
      <c r="M377" s="5">
        <v>148500</v>
      </c>
      <c r="N377" s="5">
        <v>112000</v>
      </c>
      <c r="O377" s="3" t="s">
        <v>13</v>
      </c>
      <c r="P377" s="3" t="s">
        <v>21</v>
      </c>
    </row>
    <row r="378" spans="1:16" x14ac:dyDescent="0.25">
      <c r="A378" s="3">
        <v>100377</v>
      </c>
      <c r="B378" s="4">
        <v>46139</v>
      </c>
      <c r="C378" s="3" t="s">
        <v>32</v>
      </c>
      <c r="D378" s="3" t="s">
        <v>16</v>
      </c>
      <c r="E378" s="3" t="s">
        <v>33</v>
      </c>
      <c r="F378" s="3" t="s">
        <v>34</v>
      </c>
      <c r="G378" s="3" t="s">
        <v>35</v>
      </c>
      <c r="H378" s="3" t="s">
        <v>77</v>
      </c>
      <c r="I378" s="3" t="s">
        <v>12</v>
      </c>
      <c r="J378" s="3">
        <v>3</v>
      </c>
      <c r="K378" s="5">
        <v>6500</v>
      </c>
      <c r="L378" s="6">
        <v>0.05</v>
      </c>
      <c r="M378" s="5">
        <v>18525</v>
      </c>
      <c r="N378" s="5">
        <v>2200</v>
      </c>
      <c r="O378" s="3" t="s">
        <v>66</v>
      </c>
      <c r="P378" s="3" t="s">
        <v>21</v>
      </c>
    </row>
    <row r="379" spans="1:16" x14ac:dyDescent="0.25">
      <c r="A379" s="3">
        <v>100378</v>
      </c>
      <c r="B379" s="4">
        <v>46121</v>
      </c>
      <c r="C379" s="3" t="s">
        <v>40</v>
      </c>
      <c r="D379" s="3" t="s">
        <v>41</v>
      </c>
      <c r="E379" s="3" t="s">
        <v>27</v>
      </c>
      <c r="F379" s="3" t="s">
        <v>17</v>
      </c>
      <c r="G379" s="3" t="s">
        <v>18</v>
      </c>
      <c r="H379" s="3" t="s">
        <v>38</v>
      </c>
      <c r="I379" s="3" t="s">
        <v>12</v>
      </c>
      <c r="J379" s="3">
        <v>3</v>
      </c>
      <c r="K379" s="5">
        <v>165000</v>
      </c>
      <c r="L379" s="6">
        <v>0.05</v>
      </c>
      <c r="M379" s="5">
        <v>470250</v>
      </c>
      <c r="N379" s="5">
        <v>112000</v>
      </c>
      <c r="O379" s="3" t="s">
        <v>13</v>
      </c>
      <c r="P379" s="3" t="s">
        <v>74</v>
      </c>
    </row>
    <row r="380" spans="1:16" x14ac:dyDescent="0.25">
      <c r="A380" s="3">
        <v>100379</v>
      </c>
      <c r="B380" s="4">
        <v>46095</v>
      </c>
      <c r="C380" s="3" t="s">
        <v>22</v>
      </c>
      <c r="D380" s="3" t="s">
        <v>7</v>
      </c>
      <c r="E380" s="3" t="s">
        <v>33</v>
      </c>
      <c r="F380" s="3" t="s">
        <v>9</v>
      </c>
      <c r="G380" s="3" t="s">
        <v>10</v>
      </c>
      <c r="H380" s="3" t="s">
        <v>56</v>
      </c>
      <c r="I380" s="3" t="s">
        <v>20</v>
      </c>
      <c r="J380" s="3">
        <v>3</v>
      </c>
      <c r="K380" s="5">
        <v>58000</v>
      </c>
      <c r="L380" s="6">
        <v>0.25</v>
      </c>
      <c r="M380" s="5">
        <v>130500</v>
      </c>
      <c r="N380" s="5">
        <v>39000</v>
      </c>
      <c r="O380" s="3" t="s">
        <v>13</v>
      </c>
      <c r="P380" s="3" t="s">
        <v>54</v>
      </c>
    </row>
    <row r="381" spans="1:16" x14ac:dyDescent="0.25">
      <c r="A381" s="3">
        <v>100380</v>
      </c>
      <c r="B381" s="4">
        <v>46051</v>
      </c>
      <c r="C381" s="3" t="s">
        <v>25</v>
      </c>
      <c r="D381" s="3" t="s">
        <v>26</v>
      </c>
      <c r="E381" s="3" t="s">
        <v>8</v>
      </c>
      <c r="F381" s="3" t="s">
        <v>17</v>
      </c>
      <c r="G381" s="3" t="s">
        <v>23</v>
      </c>
      <c r="H381" s="3" t="s">
        <v>162</v>
      </c>
      <c r="I381" s="3" t="s">
        <v>20</v>
      </c>
      <c r="J381" s="3">
        <v>2</v>
      </c>
      <c r="K381" s="5">
        <v>32000</v>
      </c>
      <c r="L381" s="6">
        <v>0.15</v>
      </c>
      <c r="M381" s="5">
        <v>54400</v>
      </c>
      <c r="N381" s="5">
        <v>19000</v>
      </c>
      <c r="O381" s="3" t="s">
        <v>13</v>
      </c>
      <c r="P381" s="3" t="s">
        <v>21</v>
      </c>
    </row>
    <row r="382" spans="1:16" x14ac:dyDescent="0.25">
      <c r="A382" s="3">
        <v>100381</v>
      </c>
      <c r="B382" s="4">
        <v>46115</v>
      </c>
      <c r="C382" s="3" t="s">
        <v>45</v>
      </c>
      <c r="D382" s="3" t="s">
        <v>46</v>
      </c>
      <c r="E382" s="3" t="s">
        <v>33</v>
      </c>
      <c r="F382" s="3" t="s">
        <v>34</v>
      </c>
      <c r="G382" s="3" t="s">
        <v>50</v>
      </c>
      <c r="H382" s="3" t="s">
        <v>97</v>
      </c>
      <c r="I382" s="3" t="s">
        <v>20</v>
      </c>
      <c r="J382" s="3">
        <v>2</v>
      </c>
      <c r="K382" s="5">
        <v>9000</v>
      </c>
      <c r="L382" s="6">
        <v>0.05</v>
      </c>
      <c r="M382" s="5">
        <v>17100</v>
      </c>
      <c r="N382" s="5">
        <v>3500</v>
      </c>
      <c r="O382" s="3" t="s">
        <v>13</v>
      </c>
      <c r="P382" s="3" t="s">
        <v>21</v>
      </c>
    </row>
    <row r="383" spans="1:16" x14ac:dyDescent="0.25">
      <c r="A383" s="3">
        <v>100382</v>
      </c>
      <c r="B383" s="4">
        <v>46249</v>
      </c>
      <c r="C383" s="3" t="s">
        <v>45</v>
      </c>
      <c r="D383" s="3" t="s">
        <v>46</v>
      </c>
      <c r="E383" s="3" t="s">
        <v>27</v>
      </c>
      <c r="F383" s="3" t="s">
        <v>9</v>
      </c>
      <c r="G383" s="3" t="s">
        <v>42</v>
      </c>
      <c r="H383" s="3" t="s">
        <v>155</v>
      </c>
      <c r="I383" s="3" t="s">
        <v>12</v>
      </c>
      <c r="J383" s="3">
        <v>4</v>
      </c>
      <c r="K383" s="5">
        <v>42000</v>
      </c>
      <c r="L383" s="6">
        <v>0.15</v>
      </c>
      <c r="M383" s="5">
        <v>142800</v>
      </c>
      <c r="N383" s="5">
        <v>28000</v>
      </c>
      <c r="O383" s="3" t="s">
        <v>13</v>
      </c>
      <c r="P383" s="3" t="s">
        <v>74</v>
      </c>
    </row>
    <row r="384" spans="1:16" x14ac:dyDescent="0.25">
      <c r="A384" s="3">
        <v>100383</v>
      </c>
      <c r="B384" s="4">
        <v>46073</v>
      </c>
      <c r="C384" s="3" t="s">
        <v>15</v>
      </c>
      <c r="D384" s="3" t="s">
        <v>16</v>
      </c>
      <c r="E384" s="3" t="s">
        <v>33</v>
      </c>
      <c r="F384" s="3" t="s">
        <v>34</v>
      </c>
      <c r="G384" s="3" t="s">
        <v>35</v>
      </c>
      <c r="H384" s="3" t="s">
        <v>224</v>
      </c>
      <c r="I384" s="3" t="s">
        <v>20</v>
      </c>
      <c r="J384" s="3">
        <v>22</v>
      </c>
      <c r="K384" s="5">
        <v>6500</v>
      </c>
      <c r="L384" s="6">
        <v>0</v>
      </c>
      <c r="M384" s="5">
        <v>143000</v>
      </c>
      <c r="N384" s="5">
        <v>2200</v>
      </c>
      <c r="O384" s="3" t="s">
        <v>13</v>
      </c>
      <c r="P384" s="3" t="s">
        <v>48</v>
      </c>
    </row>
    <row r="385" spans="1:16" x14ac:dyDescent="0.25">
      <c r="A385" s="3">
        <v>100384</v>
      </c>
      <c r="B385" s="4">
        <v>46227</v>
      </c>
      <c r="C385" s="3" t="s">
        <v>40</v>
      </c>
      <c r="D385" s="3" t="s">
        <v>41</v>
      </c>
      <c r="E385" s="3" t="s">
        <v>27</v>
      </c>
      <c r="F385" s="3" t="s">
        <v>9</v>
      </c>
      <c r="G385" s="3" t="s">
        <v>52</v>
      </c>
      <c r="H385" s="3" t="s">
        <v>168</v>
      </c>
      <c r="I385" s="3" t="s">
        <v>20</v>
      </c>
      <c r="J385" s="3">
        <v>3</v>
      </c>
      <c r="K385" s="5">
        <v>24000</v>
      </c>
      <c r="L385" s="6">
        <v>0.05</v>
      </c>
      <c r="M385" s="5">
        <v>68400</v>
      </c>
      <c r="N385" s="5">
        <v>15000</v>
      </c>
      <c r="O385" s="3" t="s">
        <v>13</v>
      </c>
      <c r="P385" s="3" t="s">
        <v>54</v>
      </c>
    </row>
    <row r="386" spans="1:16" x14ac:dyDescent="0.25">
      <c r="A386" s="3">
        <v>100385</v>
      </c>
      <c r="B386" s="4">
        <v>46205</v>
      </c>
      <c r="C386" s="3" t="s">
        <v>32</v>
      </c>
      <c r="D386" s="3" t="s">
        <v>16</v>
      </c>
      <c r="E386" s="3" t="s">
        <v>33</v>
      </c>
      <c r="F386" s="3" t="s">
        <v>17</v>
      </c>
      <c r="G386" s="3" t="s">
        <v>18</v>
      </c>
      <c r="H386" s="3" t="s">
        <v>43</v>
      </c>
      <c r="I386" s="3" t="s">
        <v>20</v>
      </c>
      <c r="J386" s="3">
        <v>3</v>
      </c>
      <c r="K386" s="5">
        <v>165000</v>
      </c>
      <c r="L386" s="6">
        <v>0</v>
      </c>
      <c r="M386" s="5">
        <v>495000</v>
      </c>
      <c r="N386" s="5">
        <v>112000</v>
      </c>
      <c r="O386" s="3" t="s">
        <v>13</v>
      </c>
      <c r="P386" s="3" t="s">
        <v>21</v>
      </c>
    </row>
    <row r="387" spans="1:16" x14ac:dyDescent="0.25">
      <c r="A387" s="3">
        <v>100386</v>
      </c>
      <c r="B387" s="4">
        <v>46049</v>
      </c>
      <c r="C387" s="3" t="s">
        <v>15</v>
      </c>
      <c r="D387" s="3" t="s">
        <v>16</v>
      </c>
      <c r="E387" s="3" t="s">
        <v>8</v>
      </c>
      <c r="F387" s="3" t="s">
        <v>34</v>
      </c>
      <c r="G387" s="3" t="s">
        <v>50</v>
      </c>
      <c r="H387" s="3" t="s">
        <v>88</v>
      </c>
      <c r="I387" s="3" t="s">
        <v>12</v>
      </c>
      <c r="J387" s="3">
        <v>3</v>
      </c>
      <c r="K387" s="5">
        <v>9000</v>
      </c>
      <c r="L387" s="6">
        <v>0</v>
      </c>
      <c r="M387" s="5">
        <v>27000</v>
      </c>
      <c r="N387" s="5">
        <v>3500</v>
      </c>
      <c r="O387" s="3" t="s">
        <v>13</v>
      </c>
      <c r="P387" s="3" t="s">
        <v>54</v>
      </c>
    </row>
    <row r="388" spans="1:16" x14ac:dyDescent="0.25">
      <c r="A388" s="3">
        <v>100387</v>
      </c>
      <c r="B388" s="4">
        <v>46231</v>
      </c>
      <c r="C388" s="3" t="s">
        <v>40</v>
      </c>
      <c r="D388" s="3" t="s">
        <v>41</v>
      </c>
      <c r="E388" s="3" t="s">
        <v>33</v>
      </c>
      <c r="F388" s="3" t="s">
        <v>17</v>
      </c>
      <c r="G388" s="3" t="s">
        <v>23</v>
      </c>
      <c r="H388" s="3" t="s">
        <v>225</v>
      </c>
      <c r="I388" s="3" t="s">
        <v>20</v>
      </c>
      <c r="J388" s="3">
        <v>4</v>
      </c>
      <c r="K388" s="5">
        <v>32000</v>
      </c>
      <c r="L388" s="6">
        <v>0.1</v>
      </c>
      <c r="M388" s="5">
        <v>115200</v>
      </c>
      <c r="N388" s="5">
        <v>19000</v>
      </c>
      <c r="O388" s="3" t="s">
        <v>13</v>
      </c>
      <c r="P388" s="3" t="s">
        <v>21</v>
      </c>
    </row>
    <row r="389" spans="1:16" x14ac:dyDescent="0.25">
      <c r="A389" s="3">
        <v>100388</v>
      </c>
      <c r="B389" s="4">
        <v>46259</v>
      </c>
      <c r="C389" s="3" t="s">
        <v>45</v>
      </c>
      <c r="D389" s="3" t="s">
        <v>46</v>
      </c>
      <c r="E389" s="3" t="s">
        <v>33</v>
      </c>
      <c r="F389" s="3" t="s">
        <v>17</v>
      </c>
      <c r="G389" s="3" t="s">
        <v>23</v>
      </c>
      <c r="H389" s="3" t="s">
        <v>219</v>
      </c>
      <c r="I389" s="3" t="s">
        <v>20</v>
      </c>
      <c r="J389" s="3">
        <v>1</v>
      </c>
      <c r="K389" s="5">
        <v>32000</v>
      </c>
      <c r="L389" s="6">
        <v>0</v>
      </c>
      <c r="M389" s="5">
        <v>32000</v>
      </c>
      <c r="N389" s="5">
        <v>19000</v>
      </c>
      <c r="O389" s="3" t="s">
        <v>13</v>
      </c>
      <c r="P389" s="3" t="s">
        <v>37</v>
      </c>
    </row>
    <row r="390" spans="1:16" x14ac:dyDescent="0.25">
      <c r="A390" s="3">
        <v>100389</v>
      </c>
      <c r="B390" s="4">
        <v>46190</v>
      </c>
      <c r="C390" s="3" t="s">
        <v>40</v>
      </c>
      <c r="D390" s="3" t="s">
        <v>41</v>
      </c>
      <c r="E390" s="3" t="s">
        <v>33</v>
      </c>
      <c r="F390" s="3" t="s">
        <v>9</v>
      </c>
      <c r="G390" s="3" t="s">
        <v>52</v>
      </c>
      <c r="H390" s="3" t="s">
        <v>24</v>
      </c>
      <c r="I390" s="3" t="s">
        <v>12</v>
      </c>
      <c r="J390" s="3">
        <v>1</v>
      </c>
      <c r="K390" s="5">
        <v>24000</v>
      </c>
      <c r="L390" s="6">
        <v>0.05</v>
      </c>
      <c r="M390" s="5">
        <v>22800</v>
      </c>
      <c r="N390" s="5">
        <v>15000</v>
      </c>
      <c r="O390" s="3" t="s">
        <v>13</v>
      </c>
      <c r="P390" s="3" t="s">
        <v>74</v>
      </c>
    </row>
    <row r="391" spans="1:16" x14ac:dyDescent="0.25">
      <c r="A391" s="3">
        <v>100390</v>
      </c>
      <c r="B391" s="4">
        <v>46240</v>
      </c>
      <c r="C391" s="3" t="s">
        <v>25</v>
      </c>
      <c r="D391" s="3" t="s">
        <v>26</v>
      </c>
      <c r="E391" s="3" t="s">
        <v>8</v>
      </c>
      <c r="F391" s="3" t="s">
        <v>9</v>
      </c>
      <c r="G391" s="3" t="s">
        <v>10</v>
      </c>
      <c r="H391" s="3" t="s">
        <v>217</v>
      </c>
      <c r="I391" s="3" t="s">
        <v>20</v>
      </c>
      <c r="J391" s="3">
        <v>2</v>
      </c>
      <c r="K391" s="5">
        <v>58000</v>
      </c>
      <c r="L391" s="6">
        <v>0.1</v>
      </c>
      <c r="M391" s="5">
        <v>104400</v>
      </c>
      <c r="N391" s="5">
        <v>39000</v>
      </c>
      <c r="O391" s="3" t="s">
        <v>13</v>
      </c>
      <c r="P391" s="3" t="s">
        <v>54</v>
      </c>
    </row>
    <row r="392" spans="1:16" x14ac:dyDescent="0.25">
      <c r="A392" s="3">
        <v>100391</v>
      </c>
      <c r="B392" s="4">
        <v>46125</v>
      </c>
      <c r="C392" s="3" t="s">
        <v>25</v>
      </c>
      <c r="D392" s="3" t="s">
        <v>26</v>
      </c>
      <c r="E392" s="3" t="s">
        <v>27</v>
      </c>
      <c r="F392" s="3" t="s">
        <v>34</v>
      </c>
      <c r="G392" s="3" t="s">
        <v>50</v>
      </c>
      <c r="H392" s="3" t="s">
        <v>123</v>
      </c>
      <c r="I392" s="3" t="s">
        <v>12</v>
      </c>
      <c r="J392" s="3">
        <v>1</v>
      </c>
      <c r="K392" s="5">
        <v>9000</v>
      </c>
      <c r="L392" s="6">
        <v>0.05</v>
      </c>
      <c r="M392" s="5">
        <v>8550</v>
      </c>
      <c r="N392" s="5">
        <v>3500</v>
      </c>
      <c r="O392" s="3" t="s">
        <v>13</v>
      </c>
      <c r="P392" s="3" t="s">
        <v>48</v>
      </c>
    </row>
    <row r="393" spans="1:16" x14ac:dyDescent="0.25">
      <c r="A393" s="3">
        <v>100392</v>
      </c>
      <c r="B393" s="4">
        <v>46178</v>
      </c>
      <c r="C393" s="3" t="s">
        <v>32</v>
      </c>
      <c r="D393" s="3" t="s">
        <v>16</v>
      </c>
      <c r="E393" s="3" t="s">
        <v>33</v>
      </c>
      <c r="F393" s="3" t="s">
        <v>34</v>
      </c>
      <c r="G393" s="3" t="s">
        <v>35</v>
      </c>
      <c r="H393" s="3" t="s">
        <v>151</v>
      </c>
      <c r="I393" s="3" t="s">
        <v>12</v>
      </c>
      <c r="J393" s="3">
        <v>2</v>
      </c>
      <c r="K393" s="5">
        <v>6500</v>
      </c>
      <c r="L393" s="6">
        <v>0.15</v>
      </c>
      <c r="M393" s="5">
        <v>11050</v>
      </c>
      <c r="N393" s="5">
        <v>2200</v>
      </c>
      <c r="O393" s="3" t="s">
        <v>13</v>
      </c>
      <c r="P393" s="3" t="s">
        <v>48</v>
      </c>
    </row>
    <row r="394" spans="1:16" x14ac:dyDescent="0.25">
      <c r="A394" s="3">
        <v>100393</v>
      </c>
      <c r="B394" s="4">
        <v>46039</v>
      </c>
      <c r="C394" s="3" t="s">
        <v>25</v>
      </c>
      <c r="D394" s="3" t="s">
        <v>26</v>
      </c>
      <c r="E394" s="3" t="s">
        <v>27</v>
      </c>
      <c r="F394" s="3" t="s">
        <v>34</v>
      </c>
      <c r="G394" s="3" t="s">
        <v>35</v>
      </c>
      <c r="H394" s="3" t="s">
        <v>83</v>
      </c>
      <c r="I394" s="3" t="s">
        <v>20</v>
      </c>
      <c r="J394" s="3">
        <v>2</v>
      </c>
      <c r="K394" s="5">
        <v>6500</v>
      </c>
      <c r="L394" s="6">
        <v>0.1</v>
      </c>
      <c r="M394" s="5">
        <v>11700</v>
      </c>
      <c r="N394" s="5">
        <v>2200</v>
      </c>
      <c r="O394" s="3" t="s">
        <v>13</v>
      </c>
      <c r="P394" s="3" t="s">
        <v>14</v>
      </c>
    </row>
    <row r="395" spans="1:16" x14ac:dyDescent="0.25">
      <c r="A395" s="3">
        <v>100394</v>
      </c>
      <c r="B395" s="4">
        <v>46255</v>
      </c>
      <c r="C395" s="3" t="s">
        <v>15</v>
      </c>
      <c r="D395" s="3" t="s">
        <v>16</v>
      </c>
      <c r="E395" s="3" t="s">
        <v>27</v>
      </c>
      <c r="F395" s="3" t="s">
        <v>34</v>
      </c>
      <c r="G395" s="3" t="s">
        <v>50</v>
      </c>
      <c r="H395" s="3" t="s">
        <v>226</v>
      </c>
      <c r="I395" s="3" t="s">
        <v>20</v>
      </c>
      <c r="J395" s="3">
        <v>3</v>
      </c>
      <c r="K395" s="5">
        <v>9000</v>
      </c>
      <c r="L395" s="6">
        <v>0.05</v>
      </c>
      <c r="M395" s="5">
        <v>25650</v>
      </c>
      <c r="N395" s="5">
        <v>3500</v>
      </c>
      <c r="O395" s="3" t="s">
        <v>13</v>
      </c>
      <c r="P395" s="3" t="s">
        <v>74</v>
      </c>
    </row>
    <row r="396" spans="1:16" x14ac:dyDescent="0.25">
      <c r="A396" s="3">
        <v>100395</v>
      </c>
      <c r="B396" s="4">
        <v>46151</v>
      </c>
      <c r="C396" s="3" t="s">
        <v>25</v>
      </c>
      <c r="D396" s="3" t="s">
        <v>26</v>
      </c>
      <c r="E396" s="3" t="s">
        <v>8</v>
      </c>
      <c r="F396" s="3" t="s">
        <v>34</v>
      </c>
      <c r="G396" s="3" t="s">
        <v>55</v>
      </c>
      <c r="H396" s="3" t="s">
        <v>76</v>
      </c>
      <c r="I396" s="3" t="s">
        <v>20</v>
      </c>
      <c r="J396" s="3">
        <v>2</v>
      </c>
      <c r="K396" s="5">
        <v>28000</v>
      </c>
      <c r="L396" s="6">
        <v>0.05</v>
      </c>
      <c r="M396" s="5">
        <v>53200</v>
      </c>
      <c r="N396" s="5">
        <v>16000</v>
      </c>
      <c r="O396" s="3" t="s">
        <v>13</v>
      </c>
      <c r="P396" s="3" t="s">
        <v>74</v>
      </c>
    </row>
    <row r="397" spans="1:16" x14ac:dyDescent="0.25">
      <c r="A397" s="3">
        <v>100396</v>
      </c>
      <c r="B397" s="4">
        <v>46048</v>
      </c>
      <c r="C397" s="3" t="s">
        <v>22</v>
      </c>
      <c r="D397" s="3" t="s">
        <v>7</v>
      </c>
      <c r="E397" s="3" t="s">
        <v>33</v>
      </c>
      <c r="F397" s="3" t="s">
        <v>9</v>
      </c>
      <c r="G397" s="3" t="s">
        <v>52</v>
      </c>
      <c r="H397" s="3" t="s">
        <v>80</v>
      </c>
      <c r="I397" s="3" t="s">
        <v>20</v>
      </c>
      <c r="J397" s="3">
        <v>1</v>
      </c>
      <c r="K397" s="5">
        <v>24000</v>
      </c>
      <c r="L397" s="6">
        <v>0.2</v>
      </c>
      <c r="M397" s="5">
        <v>19200</v>
      </c>
      <c r="N397" s="5">
        <v>15000</v>
      </c>
      <c r="O397" s="3" t="s">
        <v>13</v>
      </c>
      <c r="P397" s="3" t="s">
        <v>37</v>
      </c>
    </row>
    <row r="398" spans="1:16" x14ac:dyDescent="0.25">
      <c r="A398" s="3">
        <v>100397</v>
      </c>
      <c r="B398" s="4">
        <v>46190</v>
      </c>
      <c r="C398" s="3" t="s">
        <v>32</v>
      </c>
      <c r="D398" s="3" t="s">
        <v>16</v>
      </c>
      <c r="E398" s="3" t="s">
        <v>8</v>
      </c>
      <c r="F398" s="3" t="s">
        <v>17</v>
      </c>
      <c r="G398" s="3" t="s">
        <v>18</v>
      </c>
      <c r="H398" s="3" t="s">
        <v>101</v>
      </c>
      <c r="I398" s="3" t="s">
        <v>12</v>
      </c>
      <c r="J398" s="3">
        <v>3</v>
      </c>
      <c r="K398" s="5">
        <v>165000</v>
      </c>
      <c r="L398" s="6">
        <v>0</v>
      </c>
      <c r="M398" s="5">
        <v>495000</v>
      </c>
      <c r="N398" s="5">
        <v>112000</v>
      </c>
      <c r="O398" s="3" t="s">
        <v>13</v>
      </c>
      <c r="P398" s="3" t="s">
        <v>30</v>
      </c>
    </row>
    <row r="399" spans="1:16" x14ac:dyDescent="0.25">
      <c r="A399" s="3">
        <v>100398</v>
      </c>
      <c r="B399" s="4">
        <v>46218</v>
      </c>
      <c r="C399" s="3" t="s">
        <v>15</v>
      </c>
      <c r="D399" s="3" t="s">
        <v>16</v>
      </c>
      <c r="E399" s="3" t="s">
        <v>33</v>
      </c>
      <c r="F399" s="3" t="s">
        <v>9</v>
      </c>
      <c r="G399" s="3" t="s">
        <v>10</v>
      </c>
      <c r="H399" s="3" t="s">
        <v>59</v>
      </c>
      <c r="I399" s="3" t="s">
        <v>20</v>
      </c>
      <c r="J399" s="3">
        <v>4</v>
      </c>
      <c r="K399" s="5">
        <v>58000</v>
      </c>
      <c r="L399" s="6">
        <v>0</v>
      </c>
      <c r="M399" s="5">
        <v>232000</v>
      </c>
      <c r="N399" s="5">
        <v>39000</v>
      </c>
      <c r="O399" s="3" t="s">
        <v>13</v>
      </c>
      <c r="P399" s="3" t="s">
        <v>30</v>
      </c>
    </row>
    <row r="400" spans="1:16" x14ac:dyDescent="0.25">
      <c r="A400" s="3">
        <v>100399</v>
      </c>
      <c r="B400" s="4">
        <v>46173</v>
      </c>
      <c r="C400" s="3" t="s">
        <v>25</v>
      </c>
      <c r="D400" s="3" t="s">
        <v>26</v>
      </c>
      <c r="E400" s="3" t="s">
        <v>27</v>
      </c>
      <c r="F400" s="3" t="s">
        <v>17</v>
      </c>
      <c r="G400" s="3" t="s">
        <v>28</v>
      </c>
      <c r="H400" s="3" t="s">
        <v>119</v>
      </c>
      <c r="I400" s="3" t="s">
        <v>20</v>
      </c>
      <c r="J400" s="3">
        <v>2</v>
      </c>
      <c r="K400" s="5">
        <v>26000</v>
      </c>
      <c r="L400" s="6">
        <v>0.1</v>
      </c>
      <c r="M400" s="5">
        <v>46800</v>
      </c>
      <c r="N400" s="5">
        <v>15000</v>
      </c>
      <c r="O400" s="3" t="s">
        <v>13</v>
      </c>
      <c r="P400" s="3" t="s">
        <v>14</v>
      </c>
    </row>
    <row r="401" spans="1:16" x14ac:dyDescent="0.25">
      <c r="A401" s="3">
        <v>100400</v>
      </c>
      <c r="B401" s="4">
        <v>46141</v>
      </c>
      <c r="C401" s="3" t="s">
        <v>40</v>
      </c>
      <c r="D401" s="3" t="s">
        <v>41</v>
      </c>
      <c r="E401" s="3" t="s">
        <v>8</v>
      </c>
      <c r="F401" s="3" t="s">
        <v>9</v>
      </c>
      <c r="G401" s="3" t="s">
        <v>10</v>
      </c>
      <c r="H401" s="3" t="s">
        <v>101</v>
      </c>
      <c r="I401" s="3" t="s">
        <v>12</v>
      </c>
      <c r="J401" s="3">
        <v>1</v>
      </c>
      <c r="K401" s="5">
        <v>58000</v>
      </c>
      <c r="L401" s="6">
        <v>0</v>
      </c>
      <c r="M401" s="5">
        <v>58000</v>
      </c>
      <c r="N401" s="5">
        <v>39000</v>
      </c>
      <c r="O401" s="3" t="s">
        <v>13</v>
      </c>
      <c r="P401" s="3" t="s">
        <v>74</v>
      </c>
    </row>
    <row r="402" spans="1:16" x14ac:dyDescent="0.25">
      <c r="A402" s="3">
        <v>100401</v>
      </c>
      <c r="B402" s="4">
        <v>46168</v>
      </c>
      <c r="C402" s="3" t="s">
        <v>40</v>
      </c>
      <c r="D402" s="3" t="s">
        <v>41</v>
      </c>
      <c r="E402" s="3" t="s">
        <v>27</v>
      </c>
      <c r="F402" s="3" t="s">
        <v>17</v>
      </c>
      <c r="G402" s="3" t="s">
        <v>18</v>
      </c>
      <c r="H402" s="3" t="s">
        <v>163</v>
      </c>
      <c r="I402" s="3" t="s">
        <v>20</v>
      </c>
      <c r="J402" s="3">
        <v>3</v>
      </c>
      <c r="K402" s="5">
        <v>165000</v>
      </c>
      <c r="L402" s="6">
        <v>0</v>
      </c>
      <c r="M402" s="5">
        <v>495000</v>
      </c>
      <c r="N402" s="5">
        <v>112000</v>
      </c>
      <c r="O402" s="3" t="s">
        <v>66</v>
      </c>
      <c r="P402" s="3" t="s">
        <v>44</v>
      </c>
    </row>
    <row r="403" spans="1:16" x14ac:dyDescent="0.25">
      <c r="A403" s="3">
        <v>100402</v>
      </c>
      <c r="B403" s="4">
        <v>46043</v>
      </c>
      <c r="C403" s="3" t="s">
        <v>40</v>
      </c>
      <c r="D403" s="3" t="s">
        <v>41</v>
      </c>
      <c r="E403" s="3" t="s">
        <v>8</v>
      </c>
      <c r="F403" s="3" t="s">
        <v>17</v>
      </c>
      <c r="G403" s="3" t="s">
        <v>18</v>
      </c>
      <c r="H403" s="3" t="s">
        <v>144</v>
      </c>
      <c r="I403" s="3" t="s">
        <v>20</v>
      </c>
      <c r="J403" s="3">
        <v>1</v>
      </c>
      <c r="K403" s="5">
        <v>165000</v>
      </c>
      <c r="L403" s="6">
        <v>0.1</v>
      </c>
      <c r="M403" s="5">
        <v>148500</v>
      </c>
      <c r="N403" s="5">
        <v>112000</v>
      </c>
      <c r="O403" s="3" t="s">
        <v>13</v>
      </c>
      <c r="P403" s="3" t="s">
        <v>74</v>
      </c>
    </row>
    <row r="404" spans="1:16" x14ac:dyDescent="0.25">
      <c r="A404" s="3">
        <v>100403</v>
      </c>
      <c r="B404" s="4">
        <v>46136</v>
      </c>
      <c r="C404" s="3" t="s">
        <v>45</v>
      </c>
      <c r="D404" s="3" t="s">
        <v>46</v>
      </c>
      <c r="E404" s="3" t="s">
        <v>33</v>
      </c>
      <c r="F404" s="3" t="s">
        <v>9</v>
      </c>
      <c r="G404" s="3" t="s">
        <v>42</v>
      </c>
      <c r="H404" s="3" t="s">
        <v>150</v>
      </c>
      <c r="I404" s="3" t="s">
        <v>12</v>
      </c>
      <c r="J404" s="3">
        <v>3</v>
      </c>
      <c r="K404" s="5">
        <v>42000</v>
      </c>
      <c r="L404" s="6">
        <v>0.05</v>
      </c>
      <c r="M404" s="5">
        <v>95760</v>
      </c>
      <c r="N404" s="5">
        <v>28000</v>
      </c>
      <c r="O404" s="3" t="s">
        <v>13</v>
      </c>
      <c r="P404" s="3" t="s">
        <v>44</v>
      </c>
    </row>
    <row r="405" spans="1:16" x14ac:dyDescent="0.25">
      <c r="A405" s="3">
        <v>100404</v>
      </c>
      <c r="B405" s="4">
        <v>46164</v>
      </c>
      <c r="C405" s="3" t="s">
        <v>25</v>
      </c>
      <c r="D405" s="3" t="s">
        <v>26</v>
      </c>
      <c r="E405" s="3" t="s">
        <v>27</v>
      </c>
      <c r="F405" s="3" t="s">
        <v>9</v>
      </c>
      <c r="G405" s="3" t="s">
        <v>42</v>
      </c>
      <c r="H405" s="3" t="s">
        <v>58</v>
      </c>
      <c r="I405" s="3" t="s">
        <v>20</v>
      </c>
      <c r="J405" s="3">
        <v>1</v>
      </c>
      <c r="K405" s="5">
        <v>42000</v>
      </c>
      <c r="L405" s="6">
        <v>0</v>
      </c>
      <c r="M405" s="5">
        <v>42000</v>
      </c>
      <c r="N405" s="5">
        <v>28000</v>
      </c>
      <c r="O405" s="3" t="s">
        <v>13</v>
      </c>
      <c r="P405" s="3" t="s">
        <v>44</v>
      </c>
    </row>
    <row r="406" spans="1:16" x14ac:dyDescent="0.25">
      <c r="A406" s="3">
        <v>100405</v>
      </c>
      <c r="B406" s="4">
        <v>46152</v>
      </c>
      <c r="C406" s="3" t="s">
        <v>45</v>
      </c>
      <c r="D406" s="3" t="s">
        <v>46</v>
      </c>
      <c r="E406" s="3" t="s">
        <v>27</v>
      </c>
      <c r="F406" s="3" t="s">
        <v>9</v>
      </c>
      <c r="G406" s="3" t="s">
        <v>42</v>
      </c>
      <c r="H406" s="3" t="s">
        <v>198</v>
      </c>
      <c r="I406" s="3" t="s">
        <v>12</v>
      </c>
      <c r="J406" s="3">
        <v>3</v>
      </c>
      <c r="K406" s="5">
        <v>42000</v>
      </c>
      <c r="L406" s="6">
        <v>0</v>
      </c>
      <c r="M406" s="5">
        <v>126000</v>
      </c>
      <c r="N406" s="5">
        <v>28000</v>
      </c>
      <c r="O406" s="3" t="s">
        <v>66</v>
      </c>
      <c r="P406" s="3" t="s">
        <v>30</v>
      </c>
    </row>
    <row r="407" spans="1:16" x14ac:dyDescent="0.25">
      <c r="A407" s="3">
        <v>100406</v>
      </c>
      <c r="B407" s="4">
        <v>46214</v>
      </c>
      <c r="C407" s="3" t="s">
        <v>6</v>
      </c>
      <c r="D407" s="3" t="s">
        <v>7</v>
      </c>
      <c r="E407" s="3" t="s">
        <v>27</v>
      </c>
      <c r="F407" s="3" t="s">
        <v>17</v>
      </c>
      <c r="G407" s="3" t="s">
        <v>28</v>
      </c>
      <c r="H407" s="3" t="s">
        <v>207</v>
      </c>
      <c r="I407" s="3" t="s">
        <v>12</v>
      </c>
      <c r="J407" s="3">
        <v>1</v>
      </c>
      <c r="K407" s="5">
        <v>26000</v>
      </c>
      <c r="L407" s="6">
        <v>0</v>
      </c>
      <c r="M407" s="5">
        <v>26000</v>
      </c>
      <c r="N407" s="5">
        <v>15000</v>
      </c>
      <c r="O407" s="3" t="s">
        <v>13</v>
      </c>
      <c r="P407" s="3" t="s">
        <v>54</v>
      </c>
    </row>
    <row r="408" spans="1:16" x14ac:dyDescent="0.25">
      <c r="A408" s="3">
        <v>100407</v>
      </c>
      <c r="B408" s="4">
        <v>46222</v>
      </c>
      <c r="C408" s="3" t="s">
        <v>32</v>
      </c>
      <c r="D408" s="3" t="s">
        <v>16</v>
      </c>
      <c r="E408" s="3" t="s">
        <v>33</v>
      </c>
      <c r="F408" s="3" t="s">
        <v>17</v>
      </c>
      <c r="G408" s="3" t="s">
        <v>23</v>
      </c>
      <c r="H408" s="3" t="s">
        <v>191</v>
      </c>
      <c r="I408" s="3" t="s">
        <v>20</v>
      </c>
      <c r="J408" s="3">
        <v>2</v>
      </c>
      <c r="K408" s="5">
        <v>32000</v>
      </c>
      <c r="L408" s="6">
        <v>0.1</v>
      </c>
      <c r="M408" s="5">
        <v>57600</v>
      </c>
      <c r="N408" s="5">
        <v>19000</v>
      </c>
      <c r="O408" s="3" t="s">
        <v>13</v>
      </c>
      <c r="P408" s="3" t="s">
        <v>21</v>
      </c>
    </row>
    <row r="409" spans="1:16" x14ac:dyDescent="0.25">
      <c r="A409" s="3">
        <v>100408</v>
      </c>
      <c r="B409" s="4">
        <v>46139</v>
      </c>
      <c r="C409" s="3" t="s">
        <v>25</v>
      </c>
      <c r="D409" s="3" t="s">
        <v>26</v>
      </c>
      <c r="E409" s="3" t="s">
        <v>27</v>
      </c>
      <c r="F409" s="3" t="s">
        <v>17</v>
      </c>
      <c r="G409" s="3" t="s">
        <v>18</v>
      </c>
      <c r="H409" s="3" t="s">
        <v>83</v>
      </c>
      <c r="I409" s="3" t="s">
        <v>20</v>
      </c>
      <c r="J409" s="3">
        <v>1</v>
      </c>
      <c r="K409" s="5">
        <v>165000</v>
      </c>
      <c r="L409" s="6">
        <v>0.15</v>
      </c>
      <c r="M409" s="5">
        <v>140250</v>
      </c>
      <c r="N409" s="5">
        <v>112000</v>
      </c>
      <c r="O409" s="3" t="s">
        <v>13</v>
      </c>
      <c r="P409" s="3" t="s">
        <v>21</v>
      </c>
    </row>
    <row r="410" spans="1:16" x14ac:dyDescent="0.25">
      <c r="A410" s="3">
        <v>100409</v>
      </c>
      <c r="B410" s="4">
        <v>46180</v>
      </c>
      <c r="C410" s="3" t="s">
        <v>25</v>
      </c>
      <c r="D410" s="3" t="s">
        <v>26</v>
      </c>
      <c r="E410" s="3" t="s">
        <v>27</v>
      </c>
      <c r="F410" s="3" t="s">
        <v>34</v>
      </c>
      <c r="G410" s="3" t="s">
        <v>35</v>
      </c>
      <c r="H410" s="3" t="s">
        <v>86</v>
      </c>
      <c r="I410" s="3" t="s">
        <v>20</v>
      </c>
      <c r="J410" s="3">
        <v>2</v>
      </c>
      <c r="K410" s="5">
        <v>6500</v>
      </c>
      <c r="L410" s="6">
        <v>0.1</v>
      </c>
      <c r="M410" s="5">
        <v>11700</v>
      </c>
      <c r="N410" s="3"/>
      <c r="O410" s="3" t="s">
        <v>13</v>
      </c>
      <c r="P410" s="3" t="s">
        <v>37</v>
      </c>
    </row>
    <row r="411" spans="1:16" x14ac:dyDescent="0.25">
      <c r="A411" s="3">
        <v>100410</v>
      </c>
      <c r="B411" s="4">
        <v>46137</v>
      </c>
      <c r="C411" s="3" t="s">
        <v>45</v>
      </c>
      <c r="D411" s="3" t="s">
        <v>46</v>
      </c>
      <c r="E411" s="3" t="s">
        <v>8</v>
      </c>
      <c r="F411" s="3" t="s">
        <v>17</v>
      </c>
      <c r="G411" s="3" t="s">
        <v>23</v>
      </c>
      <c r="H411" s="3" t="s">
        <v>114</v>
      </c>
      <c r="I411" s="3" t="s">
        <v>20</v>
      </c>
      <c r="J411" s="3">
        <v>1</v>
      </c>
      <c r="K411" s="5">
        <v>32000</v>
      </c>
      <c r="L411" s="6">
        <v>0.15</v>
      </c>
      <c r="M411" s="5">
        <v>27200</v>
      </c>
      <c r="N411" s="5">
        <v>19000</v>
      </c>
      <c r="O411" s="3" t="s">
        <v>13</v>
      </c>
      <c r="P411" s="3" t="s">
        <v>30</v>
      </c>
    </row>
    <row r="412" spans="1:16" x14ac:dyDescent="0.25">
      <c r="A412" s="3">
        <v>100411</v>
      </c>
      <c r="B412" s="4">
        <v>46080</v>
      </c>
      <c r="C412" s="3" t="s">
        <v>22</v>
      </c>
      <c r="D412" s="3" t="s">
        <v>7</v>
      </c>
      <c r="E412" s="3" t="s">
        <v>27</v>
      </c>
      <c r="F412" s="3" t="s">
        <v>9</v>
      </c>
      <c r="G412" s="3" t="s">
        <v>10</v>
      </c>
      <c r="H412" s="3" t="s">
        <v>215</v>
      </c>
      <c r="I412" s="3" t="s">
        <v>20</v>
      </c>
      <c r="J412" s="3">
        <v>2</v>
      </c>
      <c r="K412" s="5">
        <v>58000</v>
      </c>
      <c r="L412" s="6">
        <v>0.2</v>
      </c>
      <c r="M412" s="5">
        <v>92800</v>
      </c>
      <c r="N412" s="5">
        <v>39000</v>
      </c>
      <c r="O412" s="3" t="s">
        <v>66</v>
      </c>
      <c r="P412" s="3" t="s">
        <v>21</v>
      </c>
    </row>
    <row r="413" spans="1:16" x14ac:dyDescent="0.25">
      <c r="A413" s="3">
        <v>100412</v>
      </c>
      <c r="B413" s="4">
        <v>46194</v>
      </c>
      <c r="C413" s="3" t="s">
        <v>40</v>
      </c>
      <c r="D413" s="3" t="s">
        <v>41</v>
      </c>
      <c r="E413" s="3" t="s">
        <v>27</v>
      </c>
      <c r="F413" s="3" t="s">
        <v>17</v>
      </c>
      <c r="G413" s="3" t="s">
        <v>18</v>
      </c>
      <c r="H413" s="3" t="s">
        <v>67</v>
      </c>
      <c r="I413" s="3" t="s">
        <v>20</v>
      </c>
      <c r="J413" s="3">
        <v>5</v>
      </c>
      <c r="K413" s="5">
        <v>165000</v>
      </c>
      <c r="L413" s="6">
        <v>0.1</v>
      </c>
      <c r="M413" s="5">
        <v>742500</v>
      </c>
      <c r="N413" s="5">
        <v>112000</v>
      </c>
      <c r="O413" s="3" t="s">
        <v>13</v>
      </c>
      <c r="P413" s="3" t="s">
        <v>74</v>
      </c>
    </row>
    <row r="414" spans="1:16" x14ac:dyDescent="0.25">
      <c r="A414" s="3">
        <v>100413</v>
      </c>
      <c r="B414" s="4">
        <v>46177</v>
      </c>
      <c r="C414" s="3" t="s">
        <v>45</v>
      </c>
      <c r="D414" s="3" t="s">
        <v>46</v>
      </c>
      <c r="E414" s="3" t="s">
        <v>33</v>
      </c>
      <c r="F414" s="3" t="s">
        <v>9</v>
      </c>
      <c r="G414" s="3" t="s">
        <v>10</v>
      </c>
      <c r="H414" s="3" t="s">
        <v>87</v>
      </c>
      <c r="I414" s="3" t="s">
        <v>12</v>
      </c>
      <c r="J414" s="3">
        <v>2</v>
      </c>
      <c r="K414" s="5">
        <v>58000</v>
      </c>
      <c r="L414" s="6">
        <v>0</v>
      </c>
      <c r="M414" s="5">
        <v>116000</v>
      </c>
      <c r="N414" s="5">
        <v>39000</v>
      </c>
      <c r="O414" s="3" t="s">
        <v>13</v>
      </c>
      <c r="P414" s="3" t="s">
        <v>14</v>
      </c>
    </row>
    <row r="415" spans="1:16" x14ac:dyDescent="0.25">
      <c r="A415" s="3">
        <v>100414</v>
      </c>
      <c r="B415" s="4">
        <v>46096</v>
      </c>
      <c r="C415" s="3" t="s">
        <v>40</v>
      </c>
      <c r="D415" s="3" t="s">
        <v>41</v>
      </c>
      <c r="E415" s="3" t="s">
        <v>33</v>
      </c>
      <c r="F415" s="3" t="s">
        <v>9</v>
      </c>
      <c r="G415" s="3" t="s">
        <v>42</v>
      </c>
      <c r="H415" s="3" t="s">
        <v>172</v>
      </c>
      <c r="I415" s="3" t="s">
        <v>20</v>
      </c>
      <c r="J415" s="3">
        <v>1</v>
      </c>
      <c r="K415" s="5">
        <v>42000</v>
      </c>
      <c r="L415" s="6">
        <v>0.1</v>
      </c>
      <c r="M415" s="5">
        <v>37800</v>
      </c>
      <c r="N415" s="5">
        <v>28000</v>
      </c>
      <c r="O415" s="3" t="s">
        <v>13</v>
      </c>
      <c r="P415" s="3" t="s">
        <v>74</v>
      </c>
    </row>
    <row r="416" spans="1:16" x14ac:dyDescent="0.25">
      <c r="A416" s="3">
        <v>100415</v>
      </c>
      <c r="B416" s="4">
        <v>46119</v>
      </c>
      <c r="C416" s="3" t="s">
        <v>15</v>
      </c>
      <c r="D416" s="3" t="s">
        <v>16</v>
      </c>
      <c r="E416" s="3" t="s">
        <v>33</v>
      </c>
      <c r="F416" s="3" t="s">
        <v>34</v>
      </c>
      <c r="G416" s="3" t="s">
        <v>35</v>
      </c>
      <c r="H416" s="3" t="s">
        <v>109</v>
      </c>
      <c r="I416" s="3" t="s">
        <v>20</v>
      </c>
      <c r="J416" s="3">
        <v>2</v>
      </c>
      <c r="K416" s="5">
        <v>6500</v>
      </c>
      <c r="L416" s="6">
        <v>0.05</v>
      </c>
      <c r="M416" s="5">
        <v>12350</v>
      </c>
      <c r="N416" s="5">
        <v>2200</v>
      </c>
      <c r="O416" s="3" t="s">
        <v>13</v>
      </c>
      <c r="P416" s="3" t="s">
        <v>37</v>
      </c>
    </row>
    <row r="417" spans="1:16" x14ac:dyDescent="0.25">
      <c r="A417" s="3">
        <v>100416</v>
      </c>
      <c r="B417" s="4">
        <v>46028</v>
      </c>
      <c r="C417" s="3" t="s">
        <v>45</v>
      </c>
      <c r="D417" s="3" t="s">
        <v>46</v>
      </c>
      <c r="E417" s="3" t="s">
        <v>8</v>
      </c>
      <c r="F417" s="3" t="s">
        <v>17</v>
      </c>
      <c r="G417" s="3" t="s">
        <v>28</v>
      </c>
      <c r="H417" s="3" t="s">
        <v>227</v>
      </c>
      <c r="I417" s="3" t="s">
        <v>12</v>
      </c>
      <c r="J417" s="3">
        <v>4</v>
      </c>
      <c r="K417" s="5">
        <v>26000</v>
      </c>
      <c r="L417" s="6">
        <v>0</v>
      </c>
      <c r="M417" s="5">
        <v>104000</v>
      </c>
      <c r="N417" s="5">
        <v>15000</v>
      </c>
      <c r="O417" s="3" t="s">
        <v>66</v>
      </c>
      <c r="P417" s="3" t="s">
        <v>48</v>
      </c>
    </row>
    <row r="418" spans="1:16" x14ac:dyDescent="0.25">
      <c r="A418" s="3">
        <v>100417</v>
      </c>
      <c r="B418" s="4">
        <v>46066</v>
      </c>
      <c r="C418" s="3" t="s">
        <v>45</v>
      </c>
      <c r="D418" s="3" t="s">
        <v>46</v>
      </c>
      <c r="E418" s="3" t="s">
        <v>27</v>
      </c>
      <c r="F418" s="3" t="s">
        <v>17</v>
      </c>
      <c r="G418" s="3" t="s">
        <v>18</v>
      </c>
      <c r="H418" s="3" t="s">
        <v>194</v>
      </c>
      <c r="I418" s="3" t="s">
        <v>20</v>
      </c>
      <c r="J418" s="3">
        <v>4</v>
      </c>
      <c r="K418" s="5">
        <v>165000</v>
      </c>
      <c r="L418" s="6">
        <v>0.1</v>
      </c>
      <c r="M418" s="5">
        <v>594000</v>
      </c>
      <c r="N418" s="5">
        <v>112000</v>
      </c>
      <c r="O418" s="3" t="s">
        <v>13</v>
      </c>
      <c r="P418" s="3" t="s">
        <v>37</v>
      </c>
    </row>
    <row r="419" spans="1:16" x14ac:dyDescent="0.25">
      <c r="A419" s="3">
        <v>100418</v>
      </c>
      <c r="B419" s="4">
        <v>46214</v>
      </c>
      <c r="C419" s="3" t="s">
        <v>45</v>
      </c>
      <c r="D419" s="3" t="s">
        <v>46</v>
      </c>
      <c r="E419" s="3" t="s">
        <v>33</v>
      </c>
      <c r="F419" s="3" t="s">
        <v>17</v>
      </c>
      <c r="G419" s="3" t="s">
        <v>28</v>
      </c>
      <c r="H419" s="3" t="s">
        <v>153</v>
      </c>
      <c r="I419" s="3" t="s">
        <v>20</v>
      </c>
      <c r="J419" s="3">
        <v>3</v>
      </c>
      <c r="K419" s="5">
        <v>26000</v>
      </c>
      <c r="L419" s="6">
        <v>0</v>
      </c>
      <c r="M419" s="5">
        <v>78000</v>
      </c>
      <c r="N419" s="5">
        <v>15000</v>
      </c>
      <c r="O419" s="3" t="s">
        <v>13</v>
      </c>
      <c r="P419" s="3" t="s">
        <v>14</v>
      </c>
    </row>
    <row r="420" spans="1:16" x14ac:dyDescent="0.25">
      <c r="A420" s="3">
        <v>100419</v>
      </c>
      <c r="B420" s="4">
        <v>46256</v>
      </c>
      <c r="C420" s="3" t="s">
        <v>45</v>
      </c>
      <c r="D420" s="3" t="s">
        <v>46</v>
      </c>
      <c r="E420" s="3" t="s">
        <v>33</v>
      </c>
      <c r="F420" s="3" t="s">
        <v>9</v>
      </c>
      <c r="G420" s="3" t="s">
        <v>10</v>
      </c>
      <c r="H420" s="3" t="s">
        <v>228</v>
      </c>
      <c r="I420" s="3" t="s">
        <v>20</v>
      </c>
      <c r="J420" s="3">
        <v>4</v>
      </c>
      <c r="K420" s="5">
        <v>58000</v>
      </c>
      <c r="L420" s="6">
        <v>0.05</v>
      </c>
      <c r="M420" s="5">
        <v>220400</v>
      </c>
      <c r="N420" s="5">
        <v>39000</v>
      </c>
      <c r="O420" s="3" t="s">
        <v>13</v>
      </c>
      <c r="P420" s="3" t="s">
        <v>54</v>
      </c>
    </row>
    <row r="421" spans="1:16" x14ac:dyDescent="0.25">
      <c r="A421" s="3">
        <v>100420</v>
      </c>
      <c r="B421" s="4">
        <v>46079</v>
      </c>
      <c r="C421" s="3" t="s">
        <v>25</v>
      </c>
      <c r="D421" s="3" t="s">
        <v>26</v>
      </c>
      <c r="E421" s="3" t="s">
        <v>8</v>
      </c>
      <c r="F421" s="3" t="s">
        <v>17</v>
      </c>
      <c r="G421" s="3" t="s">
        <v>18</v>
      </c>
      <c r="H421" s="3" t="s">
        <v>76</v>
      </c>
      <c r="I421" s="3" t="s">
        <v>20</v>
      </c>
      <c r="J421" s="3">
        <v>2</v>
      </c>
      <c r="K421" s="5">
        <v>165000</v>
      </c>
      <c r="L421" s="6">
        <v>0.05</v>
      </c>
      <c r="M421" s="5">
        <v>313500</v>
      </c>
      <c r="N421" s="3"/>
      <c r="O421" s="3" t="s">
        <v>13</v>
      </c>
      <c r="P421" s="3" t="s">
        <v>54</v>
      </c>
    </row>
    <row r="422" spans="1:16" x14ac:dyDescent="0.25">
      <c r="A422" s="3">
        <v>100197</v>
      </c>
      <c r="B422" s="4">
        <v>46235</v>
      </c>
      <c r="C422" s="3" t="s">
        <v>22</v>
      </c>
      <c r="D422" s="3" t="s">
        <v>7</v>
      </c>
      <c r="E422" s="3" t="s">
        <v>27</v>
      </c>
      <c r="F422" s="3" t="s">
        <v>34</v>
      </c>
      <c r="G422" s="3" t="s">
        <v>50</v>
      </c>
      <c r="H422" s="3" t="s">
        <v>177</v>
      </c>
      <c r="I422" s="3" t="s">
        <v>20</v>
      </c>
      <c r="J422" s="3">
        <v>1</v>
      </c>
      <c r="K422" s="5">
        <v>9000</v>
      </c>
      <c r="L422" s="6">
        <v>0.25</v>
      </c>
      <c r="M422" s="5">
        <v>6750</v>
      </c>
      <c r="N422" s="5">
        <v>3500</v>
      </c>
      <c r="O422" s="3" t="s">
        <v>66</v>
      </c>
      <c r="P422" s="3" t="s">
        <v>21</v>
      </c>
    </row>
    <row r="423" spans="1:16" x14ac:dyDescent="0.25">
      <c r="A423" s="3">
        <v>100196</v>
      </c>
      <c r="B423" s="4">
        <v>46078</v>
      </c>
      <c r="C423" s="3" t="s">
        <v>32</v>
      </c>
      <c r="D423" s="3" t="s">
        <v>175</v>
      </c>
      <c r="E423" s="3" t="s">
        <v>33</v>
      </c>
      <c r="F423" s="3" t="s">
        <v>17</v>
      </c>
      <c r="G423" s="3" t="s">
        <v>23</v>
      </c>
      <c r="H423" s="3" t="s">
        <v>176</v>
      </c>
      <c r="I423" s="3" t="s">
        <v>20</v>
      </c>
      <c r="J423" s="3">
        <v>4</v>
      </c>
      <c r="K423" s="5">
        <v>32000</v>
      </c>
      <c r="L423" s="6">
        <v>0.1</v>
      </c>
      <c r="M423" s="5">
        <v>115200</v>
      </c>
      <c r="N423" s="5">
        <v>19000</v>
      </c>
      <c r="O423" s="3" t="s">
        <v>13</v>
      </c>
      <c r="P423" s="3" t="s">
        <v>30</v>
      </c>
    </row>
    <row r="424" spans="1:16" x14ac:dyDescent="0.25">
      <c r="A424" s="3">
        <v>100304</v>
      </c>
      <c r="B424" s="4">
        <v>46204</v>
      </c>
      <c r="C424" s="3" t="s">
        <v>25</v>
      </c>
      <c r="D424" s="3" t="s">
        <v>26</v>
      </c>
      <c r="E424" s="3" t="s">
        <v>8</v>
      </c>
      <c r="F424" s="3" t="s">
        <v>9</v>
      </c>
      <c r="G424" s="3" t="s">
        <v>10</v>
      </c>
      <c r="H424" s="3" t="s">
        <v>208</v>
      </c>
      <c r="I424" s="3" t="s">
        <v>12</v>
      </c>
      <c r="J424" s="3">
        <v>5</v>
      </c>
      <c r="K424" s="5">
        <v>58000</v>
      </c>
      <c r="L424" s="6">
        <v>0.1</v>
      </c>
      <c r="M424" s="5">
        <v>261000</v>
      </c>
      <c r="N424" s="5">
        <v>39000</v>
      </c>
      <c r="O424" s="3" t="s">
        <v>13</v>
      </c>
      <c r="P424" s="3" t="s">
        <v>37</v>
      </c>
    </row>
    <row r="425" spans="1:16" x14ac:dyDescent="0.25">
      <c r="A425" s="3">
        <v>100306</v>
      </c>
      <c r="B425" s="4">
        <v>46095</v>
      </c>
      <c r="C425" s="3" t="s">
        <v>45</v>
      </c>
      <c r="D425" s="3" t="s">
        <v>46</v>
      </c>
      <c r="E425" s="3" t="s">
        <v>33</v>
      </c>
      <c r="F425" s="3" t="s">
        <v>34</v>
      </c>
      <c r="G425" s="3" t="s">
        <v>50</v>
      </c>
      <c r="H425" s="3" t="s">
        <v>207</v>
      </c>
      <c r="I425" s="3" t="s">
        <v>12</v>
      </c>
      <c r="J425" s="3">
        <v>1</v>
      </c>
      <c r="K425" s="5">
        <v>9000</v>
      </c>
      <c r="L425" s="6">
        <v>0.15</v>
      </c>
      <c r="M425" s="5">
        <v>7650</v>
      </c>
      <c r="N425" s="5">
        <v>3500</v>
      </c>
      <c r="O425" s="3" t="s">
        <v>13</v>
      </c>
      <c r="P425" s="3" t="s">
        <v>74</v>
      </c>
    </row>
    <row r="426" spans="1:16" x14ac:dyDescent="0.25">
      <c r="A426" s="3">
        <v>100367</v>
      </c>
      <c r="B426" s="4">
        <v>46225</v>
      </c>
      <c r="C426" s="3" t="s">
        <v>25</v>
      </c>
      <c r="D426" s="3" t="s">
        <v>26</v>
      </c>
      <c r="E426" s="3" t="s">
        <v>33</v>
      </c>
      <c r="F426" s="3" t="s">
        <v>34</v>
      </c>
      <c r="G426" s="3" t="s">
        <v>50</v>
      </c>
      <c r="H426" s="3" t="s">
        <v>96</v>
      </c>
      <c r="I426" s="3" t="s">
        <v>20</v>
      </c>
      <c r="J426" s="3">
        <v>2</v>
      </c>
      <c r="K426" s="5">
        <v>9000</v>
      </c>
      <c r="L426" s="6">
        <v>0</v>
      </c>
      <c r="M426" s="5">
        <v>18000</v>
      </c>
      <c r="N426" s="5">
        <v>3500</v>
      </c>
      <c r="O426" s="3" t="s">
        <v>13</v>
      </c>
      <c r="P426" s="3" t="s">
        <v>21</v>
      </c>
    </row>
    <row r="427" spans="1:16" x14ac:dyDescent="0.25">
      <c r="A427" s="3">
        <v>100252</v>
      </c>
      <c r="B427" s="4">
        <v>46214</v>
      </c>
      <c r="C427" s="3" t="s">
        <v>25</v>
      </c>
      <c r="D427" s="3" t="s">
        <v>26</v>
      </c>
      <c r="E427" s="3" t="s">
        <v>33</v>
      </c>
      <c r="F427" s="3" t="s">
        <v>17</v>
      </c>
      <c r="G427" s="3" t="s">
        <v>28</v>
      </c>
      <c r="H427" s="3" t="s">
        <v>157</v>
      </c>
      <c r="I427" s="3" t="s">
        <v>20</v>
      </c>
      <c r="J427" s="3">
        <v>2</v>
      </c>
      <c r="K427" s="5">
        <v>26000</v>
      </c>
      <c r="L427" s="6">
        <v>0</v>
      </c>
      <c r="M427" s="5">
        <v>52000</v>
      </c>
      <c r="N427" s="5">
        <v>15000</v>
      </c>
      <c r="O427" s="3" t="s">
        <v>13</v>
      </c>
      <c r="P427" s="3" t="s">
        <v>48</v>
      </c>
    </row>
    <row r="428" spans="1:16" x14ac:dyDescent="0.25">
      <c r="A428" s="3">
        <v>100276</v>
      </c>
      <c r="B428" s="4">
        <v>46195</v>
      </c>
      <c r="C428" s="3" t="s">
        <v>32</v>
      </c>
      <c r="D428" s="3" t="s">
        <v>16</v>
      </c>
      <c r="E428" s="3" t="s">
        <v>27</v>
      </c>
      <c r="F428" s="3" t="s">
        <v>9</v>
      </c>
      <c r="G428" s="3" t="s">
        <v>52</v>
      </c>
      <c r="H428" s="3" t="s">
        <v>148</v>
      </c>
      <c r="I428" s="3" t="s">
        <v>12</v>
      </c>
      <c r="J428" s="3">
        <v>2</v>
      </c>
      <c r="K428" s="5">
        <v>24000</v>
      </c>
      <c r="L428" s="6">
        <v>0.1</v>
      </c>
      <c r="M428" s="5">
        <v>43200</v>
      </c>
      <c r="N428" s="5">
        <v>15000</v>
      </c>
      <c r="O428" s="3" t="s">
        <v>13</v>
      </c>
      <c r="P428" s="3" t="s">
        <v>48</v>
      </c>
    </row>
    <row r="429" spans="1:16" x14ac:dyDescent="0.25">
      <c r="A429" s="3">
        <v>100395</v>
      </c>
      <c r="B429" s="4">
        <v>46151</v>
      </c>
      <c r="C429" s="3" t="s">
        <v>25</v>
      </c>
      <c r="D429" s="3" t="s">
        <v>26</v>
      </c>
      <c r="E429" s="3" t="s">
        <v>8</v>
      </c>
      <c r="F429" s="3" t="s">
        <v>34</v>
      </c>
      <c r="G429" s="3" t="s">
        <v>55</v>
      </c>
      <c r="H429" s="3" t="s">
        <v>76</v>
      </c>
      <c r="I429" s="3" t="s">
        <v>20</v>
      </c>
      <c r="J429" s="3">
        <v>2</v>
      </c>
      <c r="K429" s="5">
        <v>28000</v>
      </c>
      <c r="L429" s="6">
        <v>0.05</v>
      </c>
      <c r="M429" s="5">
        <v>53200</v>
      </c>
      <c r="N429" s="5">
        <v>16000</v>
      </c>
      <c r="O429" s="3" t="s">
        <v>13</v>
      </c>
      <c r="P429" s="3" t="s">
        <v>74</v>
      </c>
    </row>
    <row r="430" spans="1:16" x14ac:dyDescent="0.25">
      <c r="A430" s="3">
        <v>100074</v>
      </c>
      <c r="B430" s="4">
        <v>46132</v>
      </c>
      <c r="C430" s="3" t="s">
        <v>40</v>
      </c>
      <c r="D430" s="3" t="s">
        <v>41</v>
      </c>
      <c r="E430" s="3" t="s">
        <v>33</v>
      </c>
      <c r="F430" s="3" t="s">
        <v>34</v>
      </c>
      <c r="G430" s="3" t="s">
        <v>35</v>
      </c>
      <c r="H430" s="3" t="s">
        <v>112</v>
      </c>
      <c r="I430" s="3" t="s">
        <v>12</v>
      </c>
      <c r="J430" s="3">
        <v>4</v>
      </c>
      <c r="K430" s="5">
        <v>6500</v>
      </c>
      <c r="L430" s="6">
        <v>0.05</v>
      </c>
      <c r="M430" s="5">
        <v>24700</v>
      </c>
      <c r="N430" s="5">
        <v>2200</v>
      </c>
      <c r="O430" s="3" t="s">
        <v>13</v>
      </c>
      <c r="P430" s="3" t="s">
        <v>14</v>
      </c>
    </row>
    <row r="431" spans="1:16" x14ac:dyDescent="0.25">
      <c r="A431" s="3">
        <v>100386</v>
      </c>
      <c r="B431" s="4">
        <v>46049</v>
      </c>
      <c r="C431" s="3" t="s">
        <v>15</v>
      </c>
      <c r="D431" s="3" t="s">
        <v>16</v>
      </c>
      <c r="E431" s="3" t="s">
        <v>8</v>
      </c>
      <c r="F431" s="3" t="s">
        <v>34</v>
      </c>
      <c r="G431" s="3" t="s">
        <v>50</v>
      </c>
      <c r="H431" s="3" t="s">
        <v>88</v>
      </c>
      <c r="I431" s="3" t="s">
        <v>12</v>
      </c>
      <c r="J431" s="3">
        <v>3</v>
      </c>
      <c r="K431" s="5">
        <v>9000</v>
      </c>
      <c r="L431" s="6">
        <v>0</v>
      </c>
      <c r="M431" s="5">
        <v>27000</v>
      </c>
      <c r="N431" s="5">
        <v>3500</v>
      </c>
      <c r="O431" s="3" t="s">
        <v>13</v>
      </c>
      <c r="P431" s="3" t="s">
        <v>54</v>
      </c>
    </row>
    <row r="432" spans="1:16" x14ac:dyDescent="0.25">
      <c r="A432" s="3">
        <v>100061</v>
      </c>
      <c r="B432" s="4">
        <v>46251</v>
      </c>
      <c r="C432" s="3" t="s">
        <v>32</v>
      </c>
      <c r="D432" s="3" t="s">
        <v>16</v>
      </c>
      <c r="E432" s="3" t="s">
        <v>33</v>
      </c>
      <c r="F432" s="3" t="s">
        <v>17</v>
      </c>
      <c r="G432" s="3" t="s">
        <v>23</v>
      </c>
      <c r="H432" s="3" t="s">
        <v>101</v>
      </c>
      <c r="I432" s="3" t="s">
        <v>20</v>
      </c>
      <c r="J432" s="3">
        <v>1</v>
      </c>
      <c r="K432" s="5">
        <v>32000</v>
      </c>
      <c r="L432" s="6">
        <v>0.15</v>
      </c>
      <c r="M432" s="5">
        <v>27200</v>
      </c>
      <c r="N432" s="5">
        <v>19000</v>
      </c>
      <c r="O432" s="3" t="s">
        <v>13</v>
      </c>
      <c r="P432" s="3" t="s">
        <v>74</v>
      </c>
    </row>
    <row r="433" spans="1:16" x14ac:dyDescent="0.25">
      <c r="A433" s="3">
        <v>100401</v>
      </c>
      <c r="B433" s="4">
        <v>46168</v>
      </c>
      <c r="C433" s="3" t="s">
        <v>40</v>
      </c>
      <c r="D433" s="3" t="s">
        <v>41</v>
      </c>
      <c r="E433" s="3" t="s">
        <v>27</v>
      </c>
      <c r="F433" s="3" t="s">
        <v>17</v>
      </c>
      <c r="G433" s="3" t="s">
        <v>18</v>
      </c>
      <c r="H433" s="3" t="s">
        <v>163</v>
      </c>
      <c r="I433" s="3" t="s">
        <v>20</v>
      </c>
      <c r="J433" s="3">
        <v>3</v>
      </c>
      <c r="K433" s="5">
        <v>165000</v>
      </c>
      <c r="L433" s="6">
        <v>0</v>
      </c>
      <c r="M433" s="5">
        <v>495000</v>
      </c>
      <c r="N433" s="5">
        <v>112000</v>
      </c>
      <c r="O433" s="3" t="s">
        <v>66</v>
      </c>
      <c r="P433" s="3" t="s">
        <v>44</v>
      </c>
    </row>
    <row r="435" spans="1:16" x14ac:dyDescent="0.25">
      <c r="M435" s="7">
        <f>SUM(M2:M434)</f>
        <v>47500870</v>
      </c>
      <c r="N435" s="7">
        <f>SUM(N2:N434)</f>
        <v>12090900</v>
      </c>
    </row>
  </sheetData>
  <pageMargins left="0.75" right="0.75" top="1" bottom="1"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Dashboard</vt:lpstr>
      <vt:lpstr>Pivot</vt:lpstr>
      <vt:lpstr>Cleaned Data</vt:lpstr>
      <vt:lpstr>Raw Data</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kadelakin@cfao.com</dc:creator>
  <dc:description/>
  <cp:lastModifiedBy>Kehinde ADELAKIN</cp:lastModifiedBy>
  <cp:revision>1</cp:revision>
  <dcterms:created xsi:type="dcterms:W3CDTF">2026-09-27T08:11:05Z</dcterms:created>
  <dcterms:modified xsi:type="dcterms:W3CDTF">2026-09-27T21:16:53Z</dcterms:modified>
  <dc:language>en-US</dc:language>
</cp:coreProperties>
</file>